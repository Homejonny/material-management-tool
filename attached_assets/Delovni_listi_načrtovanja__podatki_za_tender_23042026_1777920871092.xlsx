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36EC4EB5F81CE6/02 VG-Group/Planski podatki/"/>
    </mc:Choice>
  </mc:AlternateContent>
  <xr:revisionPtr revIDLastSave="95" documentId="8_{4F135FA8-A090-44C9-9713-FC0D19CB8BC3}" xr6:coauthVersionLast="47" xr6:coauthVersionMax="47" xr10:uidLastSave="{9AB368D8-FCD4-45C2-89E9-1860A2966727}"/>
  <bookViews>
    <workbookView xWindow="-120" yWindow="-120" windowWidth="29040" windowHeight="15720" firstSheet="2" activeTab="5" xr2:uid="{00000000-000D-0000-FFFF-FFFF00000000}"/>
  </bookViews>
  <sheets>
    <sheet name="Artikli" sheetId="5" r:id="rId1"/>
    <sheet name="Nadomeščanje artikla" sheetId="4" r:id="rId2"/>
    <sheet name="List1" sheetId="2" r:id="rId3"/>
    <sheet name="Delovni listi načrtovanja" sheetId="1" r:id="rId4"/>
    <sheet name="Preoblikovano" sheetId="3" r:id="rId5"/>
    <sheet name="List2" sheetId="6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3" l="1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J439" i="5"/>
  <c r="E439" i="5"/>
  <c r="D439" i="5"/>
  <c r="J438" i="5"/>
  <c r="E438" i="5"/>
  <c r="D438" i="5"/>
  <c r="J437" i="5"/>
  <c r="E437" i="5"/>
  <c r="D437" i="5"/>
  <c r="J436" i="5"/>
  <c r="E436" i="5"/>
  <c r="D436" i="5"/>
  <c r="J435" i="5"/>
  <c r="E435" i="5"/>
  <c r="D435" i="5"/>
  <c r="J434" i="5"/>
  <c r="E434" i="5"/>
  <c r="D434" i="5"/>
  <c r="J433" i="5"/>
  <c r="E433" i="5"/>
  <c r="D433" i="5"/>
  <c r="J432" i="5"/>
  <c r="E432" i="5"/>
  <c r="D432" i="5"/>
  <c r="J431" i="5"/>
  <c r="E431" i="5"/>
  <c r="D431" i="5"/>
  <c r="J430" i="5"/>
  <c r="E430" i="5"/>
  <c r="D430" i="5"/>
  <c r="J429" i="5"/>
  <c r="E429" i="5"/>
  <c r="D429" i="5"/>
  <c r="J428" i="5"/>
  <c r="E428" i="5"/>
  <c r="D428" i="5"/>
  <c r="J427" i="5"/>
  <c r="E427" i="5"/>
  <c r="D427" i="5"/>
  <c r="J426" i="5"/>
  <c r="E426" i="5"/>
  <c r="D426" i="5"/>
  <c r="J425" i="5"/>
  <c r="E425" i="5"/>
  <c r="D425" i="5"/>
  <c r="J424" i="5"/>
  <c r="E424" i="5"/>
  <c r="D424" i="5"/>
  <c r="J423" i="5"/>
  <c r="E423" i="5"/>
  <c r="D423" i="5"/>
  <c r="J422" i="5"/>
  <c r="E422" i="5"/>
  <c r="D422" i="5"/>
  <c r="J421" i="5"/>
  <c r="E421" i="5"/>
  <c r="D421" i="5"/>
  <c r="J420" i="5"/>
  <c r="E420" i="5"/>
  <c r="D420" i="5"/>
  <c r="J419" i="5"/>
  <c r="E419" i="5"/>
  <c r="D419" i="5"/>
  <c r="J418" i="5"/>
  <c r="E418" i="5"/>
  <c r="D418" i="5"/>
  <c r="J417" i="5"/>
  <c r="E417" i="5"/>
  <c r="D417" i="5"/>
  <c r="J416" i="5"/>
  <c r="E416" i="5"/>
  <c r="D416" i="5"/>
  <c r="J415" i="5"/>
  <c r="E415" i="5"/>
  <c r="D415" i="5"/>
  <c r="J414" i="5"/>
  <c r="E414" i="5"/>
  <c r="D414" i="5"/>
  <c r="J413" i="5"/>
  <c r="E413" i="5"/>
  <c r="D413" i="5"/>
  <c r="J412" i="5"/>
  <c r="E412" i="5"/>
  <c r="D412" i="5"/>
  <c r="J411" i="5"/>
  <c r="E411" i="5"/>
  <c r="D411" i="5"/>
  <c r="J410" i="5"/>
  <c r="E410" i="5"/>
  <c r="D410" i="5"/>
  <c r="J409" i="5"/>
  <c r="E409" i="5"/>
  <c r="D409" i="5"/>
  <c r="J408" i="5"/>
  <c r="E408" i="5"/>
  <c r="D408" i="5"/>
  <c r="J407" i="5"/>
  <c r="E407" i="5"/>
  <c r="D407" i="5"/>
  <c r="J406" i="5"/>
  <c r="E406" i="5"/>
  <c r="D406" i="5"/>
  <c r="J405" i="5"/>
  <c r="E405" i="5"/>
  <c r="D405" i="5"/>
  <c r="J404" i="5"/>
  <c r="E404" i="5"/>
  <c r="D404" i="5"/>
  <c r="J403" i="5"/>
  <c r="E403" i="5"/>
  <c r="D403" i="5"/>
  <c r="J402" i="5"/>
  <c r="E402" i="5"/>
  <c r="D402" i="5"/>
  <c r="J401" i="5"/>
  <c r="E401" i="5"/>
  <c r="D401" i="5"/>
  <c r="J400" i="5"/>
  <c r="E400" i="5"/>
  <c r="D400" i="5"/>
  <c r="J399" i="5"/>
  <c r="E399" i="5"/>
  <c r="D399" i="5"/>
  <c r="J398" i="5"/>
  <c r="E398" i="5"/>
  <c r="D398" i="5"/>
  <c r="J397" i="5"/>
  <c r="E397" i="5"/>
  <c r="D397" i="5"/>
  <c r="J396" i="5"/>
  <c r="E396" i="5"/>
  <c r="D396" i="5"/>
  <c r="J395" i="5"/>
  <c r="E395" i="5"/>
  <c r="D395" i="5"/>
  <c r="J394" i="5"/>
  <c r="E394" i="5"/>
  <c r="D394" i="5"/>
  <c r="J393" i="5"/>
  <c r="E393" i="5"/>
  <c r="D393" i="5"/>
  <c r="J392" i="5"/>
  <c r="E392" i="5"/>
  <c r="D392" i="5"/>
  <c r="J391" i="5"/>
  <c r="E391" i="5"/>
  <c r="D391" i="5"/>
  <c r="J390" i="5"/>
  <c r="E390" i="5"/>
  <c r="D390" i="5"/>
  <c r="J389" i="5"/>
  <c r="E389" i="5"/>
  <c r="D389" i="5"/>
  <c r="J388" i="5"/>
  <c r="E388" i="5"/>
  <c r="D388" i="5"/>
  <c r="J387" i="5"/>
  <c r="E387" i="5"/>
  <c r="D387" i="5"/>
  <c r="J386" i="5"/>
  <c r="E386" i="5"/>
  <c r="D386" i="5"/>
  <c r="J385" i="5"/>
  <c r="E385" i="5"/>
  <c r="D385" i="5"/>
  <c r="J384" i="5"/>
  <c r="E384" i="5"/>
  <c r="D384" i="5"/>
  <c r="J383" i="5"/>
  <c r="E383" i="5"/>
  <c r="D383" i="5"/>
  <c r="J382" i="5"/>
  <c r="E382" i="5"/>
  <c r="D382" i="5"/>
  <c r="J381" i="5"/>
  <c r="E381" i="5"/>
  <c r="D381" i="5"/>
  <c r="J380" i="5"/>
  <c r="E380" i="5"/>
  <c r="D380" i="5"/>
  <c r="J379" i="5"/>
  <c r="E379" i="5"/>
  <c r="D379" i="5"/>
  <c r="J378" i="5"/>
  <c r="E378" i="5"/>
  <c r="D378" i="5"/>
  <c r="J377" i="5"/>
  <c r="E377" i="5"/>
  <c r="D377" i="5"/>
  <c r="J376" i="5"/>
  <c r="E376" i="5"/>
  <c r="D376" i="5"/>
  <c r="J375" i="5"/>
  <c r="E375" i="5"/>
  <c r="D375" i="5"/>
  <c r="J374" i="5"/>
  <c r="E374" i="5"/>
  <c r="D374" i="5"/>
  <c r="J373" i="5"/>
  <c r="E373" i="5"/>
  <c r="D373" i="5"/>
  <c r="J372" i="5"/>
  <c r="E372" i="5"/>
  <c r="D372" i="5"/>
  <c r="J371" i="5"/>
  <c r="E371" i="5"/>
  <c r="D371" i="5"/>
  <c r="J370" i="5"/>
  <c r="E370" i="5"/>
  <c r="D370" i="5"/>
  <c r="J369" i="5"/>
  <c r="E369" i="5"/>
  <c r="D369" i="5"/>
  <c r="J368" i="5"/>
  <c r="E368" i="5"/>
  <c r="D368" i="5"/>
  <c r="J367" i="5"/>
  <c r="E367" i="5"/>
  <c r="D367" i="5"/>
  <c r="J366" i="5"/>
  <c r="E366" i="5"/>
  <c r="D366" i="5"/>
  <c r="J365" i="5"/>
  <c r="E365" i="5"/>
  <c r="D365" i="5"/>
  <c r="J364" i="5"/>
  <c r="E364" i="5"/>
  <c r="D364" i="5"/>
  <c r="J363" i="5"/>
  <c r="E363" i="5"/>
  <c r="D363" i="5"/>
  <c r="J362" i="5"/>
  <c r="E362" i="5"/>
  <c r="D362" i="5"/>
  <c r="J361" i="5"/>
  <c r="E361" i="5"/>
  <c r="D361" i="5"/>
  <c r="J360" i="5"/>
  <c r="E360" i="5"/>
  <c r="D360" i="5"/>
  <c r="J359" i="5"/>
  <c r="E359" i="5"/>
  <c r="D359" i="5"/>
  <c r="J358" i="5"/>
  <c r="E358" i="5"/>
  <c r="D358" i="5"/>
  <c r="J357" i="5"/>
  <c r="E357" i="5"/>
  <c r="D357" i="5"/>
  <c r="J356" i="5"/>
  <c r="E356" i="5"/>
  <c r="D356" i="5"/>
  <c r="J355" i="5"/>
  <c r="E355" i="5"/>
  <c r="D355" i="5"/>
  <c r="J354" i="5"/>
  <c r="E354" i="5"/>
  <c r="D354" i="5"/>
  <c r="J353" i="5"/>
  <c r="E353" i="5"/>
  <c r="D353" i="5"/>
  <c r="J352" i="5"/>
  <c r="E352" i="5"/>
  <c r="D352" i="5"/>
  <c r="J351" i="5"/>
  <c r="E351" i="5"/>
  <c r="D351" i="5"/>
  <c r="J350" i="5"/>
  <c r="E350" i="5"/>
  <c r="D350" i="5"/>
  <c r="J349" i="5"/>
  <c r="E349" i="5"/>
  <c r="D349" i="5"/>
  <c r="J348" i="5"/>
  <c r="E348" i="5"/>
  <c r="D348" i="5"/>
  <c r="J347" i="5"/>
  <c r="E347" i="5"/>
  <c r="D347" i="5"/>
  <c r="J346" i="5"/>
  <c r="E346" i="5"/>
  <c r="D346" i="5"/>
  <c r="J345" i="5"/>
  <c r="E345" i="5"/>
  <c r="D345" i="5"/>
  <c r="J344" i="5"/>
  <c r="E344" i="5"/>
  <c r="D344" i="5"/>
  <c r="J343" i="5"/>
  <c r="E343" i="5"/>
  <c r="D343" i="5"/>
  <c r="J342" i="5"/>
  <c r="E342" i="5"/>
  <c r="D342" i="5"/>
  <c r="J341" i="5"/>
  <c r="E341" i="5"/>
  <c r="D341" i="5"/>
  <c r="J340" i="5"/>
  <c r="E340" i="5"/>
  <c r="D340" i="5"/>
  <c r="J339" i="5"/>
  <c r="E339" i="5"/>
  <c r="D339" i="5"/>
  <c r="J338" i="5"/>
  <c r="E338" i="5"/>
  <c r="D338" i="5"/>
  <c r="J337" i="5"/>
  <c r="E337" i="5"/>
  <c r="D337" i="5"/>
  <c r="J336" i="5"/>
  <c r="E336" i="5"/>
  <c r="D336" i="5"/>
  <c r="J335" i="5"/>
  <c r="E335" i="5"/>
  <c r="D335" i="5"/>
  <c r="J334" i="5"/>
  <c r="E334" i="5"/>
  <c r="D334" i="5"/>
  <c r="J333" i="5"/>
  <c r="E333" i="5"/>
  <c r="D333" i="5"/>
  <c r="J332" i="5"/>
  <c r="E332" i="5"/>
  <c r="D332" i="5"/>
  <c r="J331" i="5"/>
  <c r="E331" i="5"/>
  <c r="D331" i="5"/>
  <c r="J330" i="5"/>
  <c r="E330" i="5"/>
  <c r="D330" i="5"/>
  <c r="J329" i="5"/>
  <c r="E329" i="5"/>
  <c r="D329" i="5"/>
  <c r="J328" i="5"/>
  <c r="E328" i="5"/>
  <c r="D328" i="5"/>
  <c r="J327" i="5"/>
  <c r="E327" i="5"/>
  <c r="D327" i="5"/>
  <c r="J326" i="5"/>
  <c r="E326" i="5"/>
  <c r="D326" i="5"/>
  <c r="J325" i="5"/>
  <c r="E325" i="5"/>
  <c r="D325" i="5"/>
  <c r="J324" i="5"/>
  <c r="E324" i="5"/>
  <c r="D324" i="5"/>
  <c r="J323" i="5"/>
  <c r="E323" i="5"/>
  <c r="D323" i="5"/>
  <c r="J322" i="5"/>
  <c r="E322" i="5"/>
  <c r="D322" i="5"/>
  <c r="J321" i="5"/>
  <c r="E321" i="5"/>
  <c r="D321" i="5"/>
  <c r="J320" i="5"/>
  <c r="E320" i="5"/>
  <c r="D320" i="5"/>
  <c r="J319" i="5"/>
  <c r="E319" i="5"/>
  <c r="D319" i="5"/>
  <c r="J318" i="5"/>
  <c r="E318" i="5"/>
  <c r="D318" i="5"/>
  <c r="J317" i="5"/>
  <c r="E317" i="5"/>
  <c r="D317" i="5"/>
  <c r="J316" i="5"/>
  <c r="E316" i="5"/>
  <c r="D316" i="5"/>
  <c r="J315" i="5"/>
  <c r="E315" i="5"/>
  <c r="D315" i="5"/>
  <c r="J314" i="5"/>
  <c r="E314" i="5"/>
  <c r="D314" i="5"/>
  <c r="J313" i="5"/>
  <c r="E313" i="5"/>
  <c r="D313" i="5"/>
  <c r="J312" i="5"/>
  <c r="E312" i="5"/>
  <c r="D312" i="5"/>
  <c r="J311" i="5"/>
  <c r="E311" i="5"/>
  <c r="D311" i="5"/>
  <c r="J310" i="5"/>
  <c r="E310" i="5"/>
  <c r="D310" i="5"/>
  <c r="J309" i="5"/>
  <c r="E309" i="5"/>
  <c r="D309" i="5"/>
  <c r="J308" i="5"/>
  <c r="E308" i="5"/>
  <c r="D308" i="5"/>
  <c r="J307" i="5"/>
  <c r="E307" i="5"/>
  <c r="D307" i="5"/>
  <c r="J306" i="5"/>
  <c r="E306" i="5"/>
  <c r="D306" i="5"/>
  <c r="J305" i="5"/>
  <c r="E305" i="5"/>
  <c r="D305" i="5"/>
  <c r="J304" i="5"/>
  <c r="E304" i="5"/>
  <c r="D304" i="5"/>
  <c r="J303" i="5"/>
  <c r="E303" i="5"/>
  <c r="D303" i="5"/>
  <c r="J302" i="5"/>
  <c r="E302" i="5"/>
  <c r="D302" i="5"/>
  <c r="J301" i="5"/>
  <c r="E301" i="5"/>
  <c r="D301" i="5"/>
  <c r="J300" i="5"/>
  <c r="E300" i="5"/>
  <c r="D300" i="5"/>
  <c r="J299" i="5"/>
  <c r="E299" i="5"/>
  <c r="D299" i="5"/>
  <c r="J298" i="5"/>
  <c r="E298" i="5"/>
  <c r="D298" i="5"/>
  <c r="J297" i="5"/>
  <c r="E297" i="5"/>
  <c r="D297" i="5"/>
  <c r="J296" i="5"/>
  <c r="E296" i="5"/>
  <c r="D296" i="5"/>
  <c r="J295" i="5"/>
  <c r="E295" i="5"/>
  <c r="D295" i="5"/>
  <c r="J294" i="5"/>
  <c r="E294" i="5"/>
  <c r="D294" i="5"/>
  <c r="J293" i="5"/>
  <c r="E293" i="5"/>
  <c r="D293" i="5"/>
  <c r="J292" i="5"/>
  <c r="E292" i="5"/>
  <c r="D292" i="5"/>
  <c r="J291" i="5"/>
  <c r="E291" i="5"/>
  <c r="D291" i="5"/>
  <c r="J290" i="5"/>
  <c r="E290" i="5"/>
  <c r="D290" i="5"/>
  <c r="J289" i="5"/>
  <c r="E289" i="5"/>
  <c r="D289" i="5"/>
  <c r="J288" i="5"/>
  <c r="E288" i="5"/>
  <c r="D288" i="5"/>
  <c r="J287" i="5"/>
  <c r="E287" i="5"/>
  <c r="D287" i="5"/>
  <c r="J286" i="5"/>
  <c r="E286" i="5"/>
  <c r="D286" i="5"/>
  <c r="J285" i="5"/>
  <c r="E285" i="5"/>
  <c r="D285" i="5"/>
  <c r="J284" i="5"/>
  <c r="E284" i="5"/>
  <c r="D284" i="5"/>
  <c r="J283" i="5"/>
  <c r="E283" i="5"/>
  <c r="D283" i="5"/>
  <c r="J282" i="5"/>
  <c r="E282" i="5"/>
  <c r="D282" i="5"/>
  <c r="J281" i="5"/>
  <c r="E281" i="5"/>
  <c r="D281" i="5"/>
  <c r="J280" i="5"/>
  <c r="E280" i="5"/>
  <c r="D280" i="5"/>
  <c r="J279" i="5"/>
  <c r="E279" i="5"/>
  <c r="D279" i="5"/>
  <c r="J278" i="5"/>
  <c r="E278" i="5"/>
  <c r="D278" i="5"/>
  <c r="J277" i="5"/>
  <c r="E277" i="5"/>
  <c r="D277" i="5"/>
  <c r="J276" i="5"/>
  <c r="E276" i="5"/>
  <c r="D276" i="5"/>
  <c r="J275" i="5"/>
  <c r="E275" i="5"/>
  <c r="D275" i="5"/>
  <c r="J274" i="5"/>
  <c r="E274" i="5"/>
  <c r="D274" i="5"/>
  <c r="J273" i="5"/>
  <c r="E273" i="5"/>
  <c r="D273" i="5"/>
  <c r="J272" i="5"/>
  <c r="E272" i="5"/>
  <c r="D272" i="5"/>
  <c r="J271" i="5"/>
  <c r="E271" i="5"/>
  <c r="D271" i="5"/>
  <c r="J270" i="5"/>
  <c r="E270" i="5"/>
  <c r="D270" i="5"/>
  <c r="J269" i="5"/>
  <c r="E269" i="5"/>
  <c r="D269" i="5"/>
  <c r="J268" i="5"/>
  <c r="E268" i="5"/>
  <c r="D268" i="5"/>
  <c r="J267" i="5"/>
  <c r="E267" i="5"/>
  <c r="D267" i="5"/>
  <c r="J266" i="5"/>
  <c r="E266" i="5"/>
  <c r="D266" i="5"/>
  <c r="J265" i="5"/>
  <c r="E265" i="5"/>
  <c r="D265" i="5"/>
  <c r="J264" i="5"/>
  <c r="E264" i="5"/>
  <c r="D264" i="5"/>
  <c r="J263" i="5"/>
  <c r="E263" i="5"/>
  <c r="D263" i="5"/>
  <c r="J262" i="5"/>
  <c r="E262" i="5"/>
  <c r="D262" i="5"/>
  <c r="J261" i="5"/>
  <c r="E261" i="5"/>
  <c r="D261" i="5"/>
  <c r="J260" i="5"/>
  <c r="E260" i="5"/>
  <c r="D260" i="5"/>
  <c r="J259" i="5"/>
  <c r="E259" i="5"/>
  <c r="D259" i="5"/>
  <c r="J258" i="5"/>
  <c r="E258" i="5"/>
  <c r="D258" i="5"/>
  <c r="J257" i="5"/>
  <c r="E257" i="5"/>
  <c r="D257" i="5"/>
  <c r="J256" i="5"/>
  <c r="E256" i="5"/>
  <c r="D256" i="5"/>
  <c r="J255" i="5"/>
  <c r="E255" i="5"/>
  <c r="D255" i="5"/>
  <c r="J254" i="5"/>
  <c r="E254" i="5"/>
  <c r="D254" i="5"/>
  <c r="J253" i="5"/>
  <c r="E253" i="5"/>
  <c r="D253" i="5"/>
  <c r="J252" i="5"/>
  <c r="E252" i="5"/>
  <c r="D252" i="5"/>
  <c r="J251" i="5"/>
  <c r="E251" i="5"/>
  <c r="D251" i="5"/>
  <c r="J250" i="5"/>
  <c r="E250" i="5"/>
  <c r="D250" i="5"/>
  <c r="J249" i="5"/>
  <c r="E249" i="5"/>
  <c r="D249" i="5"/>
  <c r="J248" i="5"/>
  <c r="E248" i="5"/>
  <c r="D248" i="5"/>
  <c r="J247" i="5"/>
  <c r="E247" i="5"/>
  <c r="D247" i="5"/>
  <c r="J246" i="5"/>
  <c r="E246" i="5"/>
  <c r="D246" i="5"/>
  <c r="J245" i="5"/>
  <c r="E245" i="5"/>
  <c r="D245" i="5"/>
  <c r="J244" i="5"/>
  <c r="E244" i="5"/>
  <c r="D244" i="5"/>
  <c r="J243" i="5"/>
  <c r="E243" i="5"/>
  <c r="D243" i="5"/>
  <c r="J242" i="5"/>
  <c r="E242" i="5"/>
  <c r="D242" i="5"/>
  <c r="J241" i="5"/>
  <c r="E241" i="5"/>
  <c r="D241" i="5"/>
  <c r="J240" i="5"/>
  <c r="E240" i="5"/>
  <c r="D240" i="5"/>
  <c r="J239" i="5"/>
  <c r="E239" i="5"/>
  <c r="D239" i="5"/>
  <c r="J238" i="5"/>
  <c r="E238" i="5"/>
  <c r="D238" i="5"/>
  <c r="J237" i="5"/>
  <c r="E237" i="5"/>
  <c r="D237" i="5"/>
  <c r="J236" i="5"/>
  <c r="E236" i="5"/>
  <c r="D236" i="5"/>
  <c r="J235" i="5"/>
  <c r="E235" i="5"/>
  <c r="D235" i="5"/>
  <c r="J234" i="5"/>
  <c r="E234" i="5"/>
  <c r="D234" i="5"/>
  <c r="J233" i="5"/>
  <c r="E233" i="5"/>
  <c r="D233" i="5"/>
  <c r="J232" i="5"/>
  <c r="E232" i="5"/>
  <c r="D232" i="5"/>
  <c r="J231" i="5"/>
  <c r="E231" i="5"/>
  <c r="D231" i="5"/>
  <c r="J230" i="5"/>
  <c r="E230" i="5"/>
  <c r="D230" i="5"/>
  <c r="J229" i="5"/>
  <c r="E229" i="5"/>
  <c r="D229" i="5"/>
  <c r="J228" i="5"/>
  <c r="E228" i="5"/>
  <c r="D228" i="5"/>
  <c r="J227" i="5"/>
  <c r="E227" i="5"/>
  <c r="D227" i="5"/>
  <c r="J226" i="5"/>
  <c r="E226" i="5"/>
  <c r="D226" i="5"/>
  <c r="J225" i="5"/>
  <c r="E225" i="5"/>
  <c r="D225" i="5"/>
  <c r="J224" i="5"/>
  <c r="E224" i="5"/>
  <c r="D224" i="5"/>
  <c r="J223" i="5"/>
  <c r="E223" i="5"/>
  <c r="D223" i="5"/>
  <c r="J222" i="5"/>
  <c r="E222" i="5"/>
  <c r="D222" i="5"/>
  <c r="J221" i="5"/>
  <c r="E221" i="5"/>
  <c r="D221" i="5"/>
  <c r="J220" i="5"/>
  <c r="E220" i="5"/>
  <c r="D220" i="5"/>
  <c r="J219" i="5"/>
  <c r="E219" i="5"/>
  <c r="D219" i="5"/>
  <c r="J218" i="5"/>
  <c r="E218" i="5"/>
  <c r="D218" i="5"/>
  <c r="J217" i="5"/>
  <c r="E217" i="5"/>
  <c r="D217" i="5"/>
  <c r="J216" i="5"/>
  <c r="E216" i="5"/>
  <c r="D216" i="5"/>
  <c r="J215" i="5"/>
  <c r="E215" i="5"/>
  <c r="D215" i="5"/>
  <c r="J214" i="5"/>
  <c r="E214" i="5"/>
  <c r="D214" i="5"/>
  <c r="J213" i="5"/>
  <c r="E213" i="5"/>
  <c r="D213" i="5"/>
  <c r="J212" i="5"/>
  <c r="E212" i="5"/>
  <c r="D212" i="5"/>
  <c r="J211" i="5"/>
  <c r="E211" i="5"/>
  <c r="D211" i="5"/>
  <c r="J210" i="5"/>
  <c r="E210" i="5"/>
  <c r="D210" i="5"/>
  <c r="J209" i="5"/>
  <c r="E209" i="5"/>
  <c r="D209" i="5"/>
  <c r="J208" i="5"/>
  <c r="E208" i="5"/>
  <c r="D208" i="5"/>
  <c r="J207" i="5"/>
  <c r="E207" i="5"/>
  <c r="D207" i="5"/>
  <c r="J206" i="5"/>
  <c r="E206" i="5"/>
  <c r="D206" i="5"/>
  <c r="J205" i="5"/>
  <c r="E205" i="5"/>
  <c r="D205" i="5"/>
  <c r="J204" i="5"/>
  <c r="E204" i="5"/>
  <c r="D204" i="5"/>
  <c r="J203" i="5"/>
  <c r="E203" i="5"/>
  <c r="D203" i="5"/>
  <c r="J202" i="5"/>
  <c r="E202" i="5"/>
  <c r="D202" i="5"/>
  <c r="J201" i="5"/>
  <c r="E201" i="5"/>
  <c r="D201" i="5"/>
  <c r="J200" i="5"/>
  <c r="E200" i="5"/>
  <c r="D200" i="5"/>
  <c r="J199" i="5"/>
  <c r="E199" i="5"/>
  <c r="D199" i="5"/>
  <c r="J198" i="5"/>
  <c r="E198" i="5"/>
  <c r="D198" i="5"/>
  <c r="J197" i="5"/>
  <c r="E197" i="5"/>
  <c r="D197" i="5"/>
  <c r="J196" i="5"/>
  <c r="E196" i="5"/>
  <c r="D196" i="5"/>
  <c r="J195" i="5"/>
  <c r="E195" i="5"/>
  <c r="D195" i="5"/>
  <c r="J194" i="5"/>
  <c r="E194" i="5"/>
  <c r="D194" i="5"/>
  <c r="J193" i="5"/>
  <c r="E193" i="5"/>
  <c r="D193" i="5"/>
  <c r="J192" i="5"/>
  <c r="E192" i="5"/>
  <c r="D192" i="5"/>
  <c r="J191" i="5"/>
  <c r="E191" i="5"/>
  <c r="D191" i="5"/>
  <c r="J190" i="5"/>
  <c r="E190" i="5"/>
  <c r="D190" i="5"/>
  <c r="J189" i="5"/>
  <c r="E189" i="5"/>
  <c r="D189" i="5"/>
  <c r="J188" i="5"/>
  <c r="E188" i="5"/>
  <c r="D188" i="5"/>
  <c r="J187" i="5"/>
  <c r="E187" i="5"/>
  <c r="D187" i="5"/>
  <c r="J186" i="5"/>
  <c r="E186" i="5"/>
  <c r="D186" i="5"/>
  <c r="J185" i="5"/>
  <c r="E185" i="5"/>
  <c r="D185" i="5"/>
  <c r="J184" i="5"/>
  <c r="E184" i="5"/>
  <c r="D184" i="5"/>
  <c r="J183" i="5"/>
  <c r="E183" i="5"/>
  <c r="D183" i="5"/>
  <c r="J182" i="5"/>
  <c r="E182" i="5"/>
  <c r="D182" i="5"/>
  <c r="J181" i="5"/>
  <c r="E181" i="5"/>
  <c r="D181" i="5"/>
  <c r="J180" i="5"/>
  <c r="E180" i="5"/>
  <c r="D180" i="5"/>
  <c r="J179" i="5"/>
  <c r="E179" i="5"/>
  <c r="D179" i="5"/>
  <c r="J178" i="5"/>
  <c r="E178" i="5"/>
  <c r="D178" i="5"/>
  <c r="J177" i="5"/>
  <c r="E177" i="5"/>
  <c r="D177" i="5"/>
  <c r="J176" i="5"/>
  <c r="E176" i="5"/>
  <c r="D176" i="5"/>
  <c r="J175" i="5"/>
  <c r="E175" i="5"/>
  <c r="D175" i="5"/>
  <c r="J174" i="5"/>
  <c r="E174" i="5"/>
  <c r="D174" i="5"/>
  <c r="J173" i="5"/>
  <c r="E173" i="5"/>
  <c r="D173" i="5"/>
  <c r="J172" i="5"/>
  <c r="E172" i="5"/>
  <c r="D172" i="5"/>
  <c r="J171" i="5"/>
  <c r="E171" i="5"/>
  <c r="D171" i="5"/>
  <c r="J170" i="5"/>
  <c r="E170" i="5"/>
  <c r="D170" i="5"/>
  <c r="J169" i="5"/>
  <c r="E169" i="5"/>
  <c r="D169" i="5"/>
  <c r="J168" i="5"/>
  <c r="E168" i="5"/>
  <c r="D168" i="5"/>
  <c r="J167" i="5"/>
  <c r="E167" i="5"/>
  <c r="D167" i="5"/>
  <c r="J166" i="5"/>
  <c r="E166" i="5"/>
  <c r="D166" i="5"/>
  <c r="J165" i="5"/>
  <c r="E165" i="5"/>
  <c r="D165" i="5"/>
  <c r="J164" i="5"/>
  <c r="E164" i="5"/>
  <c r="D164" i="5"/>
  <c r="J163" i="5"/>
  <c r="E163" i="5"/>
  <c r="D163" i="5"/>
  <c r="J162" i="5"/>
  <c r="E162" i="5"/>
  <c r="D162" i="5"/>
  <c r="J161" i="5"/>
  <c r="E161" i="5"/>
  <c r="D161" i="5"/>
  <c r="J160" i="5"/>
  <c r="E160" i="5"/>
  <c r="D160" i="5"/>
  <c r="J159" i="5"/>
  <c r="E159" i="5"/>
  <c r="D159" i="5"/>
  <c r="J158" i="5"/>
  <c r="E158" i="5"/>
  <c r="D158" i="5"/>
  <c r="J157" i="5"/>
  <c r="E157" i="5"/>
  <c r="D157" i="5"/>
  <c r="J156" i="5"/>
  <c r="E156" i="5"/>
  <c r="D156" i="5"/>
  <c r="J155" i="5"/>
  <c r="E155" i="5"/>
  <c r="D155" i="5"/>
  <c r="J154" i="5"/>
  <c r="E154" i="5"/>
  <c r="D154" i="5"/>
  <c r="J153" i="5"/>
  <c r="E153" i="5"/>
  <c r="D153" i="5"/>
  <c r="J152" i="5"/>
  <c r="E152" i="5"/>
  <c r="D152" i="5"/>
  <c r="J151" i="5"/>
  <c r="E151" i="5"/>
  <c r="D151" i="5"/>
  <c r="J150" i="5"/>
  <c r="E150" i="5"/>
  <c r="D150" i="5"/>
  <c r="J149" i="5"/>
  <c r="E149" i="5"/>
  <c r="D149" i="5"/>
  <c r="J148" i="5"/>
  <c r="E148" i="5"/>
  <c r="D148" i="5"/>
  <c r="J147" i="5"/>
  <c r="E147" i="5"/>
  <c r="D147" i="5"/>
  <c r="J146" i="5"/>
  <c r="E146" i="5"/>
  <c r="D146" i="5"/>
  <c r="J145" i="5"/>
  <c r="E145" i="5"/>
  <c r="D145" i="5"/>
  <c r="J144" i="5"/>
  <c r="E144" i="5"/>
  <c r="D144" i="5"/>
  <c r="J143" i="5"/>
  <c r="E143" i="5"/>
  <c r="D143" i="5"/>
  <c r="J142" i="5"/>
  <c r="E142" i="5"/>
  <c r="D142" i="5"/>
  <c r="J141" i="5"/>
  <c r="E141" i="5"/>
  <c r="D141" i="5"/>
  <c r="J140" i="5"/>
  <c r="E140" i="5"/>
  <c r="D140" i="5"/>
  <c r="J139" i="5"/>
  <c r="E139" i="5"/>
  <c r="D139" i="5"/>
  <c r="J138" i="5"/>
  <c r="E138" i="5"/>
  <c r="D138" i="5"/>
  <c r="J137" i="5"/>
  <c r="E137" i="5"/>
  <c r="D137" i="5"/>
  <c r="J136" i="5"/>
  <c r="E136" i="5"/>
  <c r="D136" i="5"/>
  <c r="J135" i="5"/>
  <c r="E135" i="5"/>
  <c r="D135" i="5"/>
  <c r="J134" i="5"/>
  <c r="E134" i="5"/>
  <c r="D134" i="5"/>
  <c r="J133" i="5"/>
  <c r="E133" i="5"/>
  <c r="D133" i="5"/>
  <c r="J132" i="5"/>
  <c r="E132" i="5"/>
  <c r="D132" i="5"/>
  <c r="J131" i="5"/>
  <c r="E131" i="5"/>
  <c r="D131" i="5"/>
  <c r="J130" i="5"/>
  <c r="E130" i="5"/>
  <c r="D130" i="5"/>
  <c r="J129" i="5"/>
  <c r="E129" i="5"/>
  <c r="D129" i="5"/>
  <c r="J128" i="5"/>
  <c r="E128" i="5"/>
  <c r="D128" i="5"/>
  <c r="J127" i="5"/>
  <c r="E127" i="5"/>
  <c r="D127" i="5"/>
  <c r="J126" i="5"/>
  <c r="E126" i="5"/>
  <c r="D126" i="5"/>
  <c r="J125" i="5"/>
  <c r="E125" i="5"/>
  <c r="D125" i="5"/>
  <c r="J124" i="5"/>
  <c r="E124" i="5"/>
  <c r="D124" i="5"/>
  <c r="J123" i="5"/>
  <c r="E123" i="5"/>
  <c r="D123" i="5"/>
  <c r="J122" i="5"/>
  <c r="E122" i="5"/>
  <c r="D122" i="5"/>
  <c r="J121" i="5"/>
  <c r="E121" i="5"/>
  <c r="D121" i="5"/>
  <c r="J120" i="5"/>
  <c r="E120" i="5"/>
  <c r="D120" i="5"/>
  <c r="J119" i="5"/>
  <c r="E119" i="5"/>
  <c r="D119" i="5"/>
  <c r="J118" i="5"/>
  <c r="E118" i="5"/>
  <c r="D118" i="5"/>
  <c r="J117" i="5"/>
  <c r="E117" i="5"/>
  <c r="D117" i="5"/>
  <c r="J116" i="5"/>
  <c r="E116" i="5"/>
  <c r="D116" i="5"/>
  <c r="J115" i="5"/>
  <c r="E115" i="5"/>
  <c r="D115" i="5"/>
  <c r="J114" i="5"/>
  <c r="E114" i="5"/>
  <c r="D114" i="5"/>
  <c r="J113" i="5"/>
  <c r="E113" i="5"/>
  <c r="D113" i="5"/>
  <c r="J112" i="5"/>
  <c r="E112" i="5"/>
  <c r="D112" i="5"/>
  <c r="J111" i="5"/>
  <c r="E111" i="5"/>
  <c r="D111" i="5"/>
  <c r="J110" i="5"/>
  <c r="E110" i="5"/>
  <c r="D110" i="5"/>
  <c r="J109" i="5"/>
  <c r="E109" i="5"/>
  <c r="D109" i="5"/>
  <c r="J108" i="5"/>
  <c r="E108" i="5"/>
  <c r="D108" i="5"/>
  <c r="J107" i="5"/>
  <c r="E107" i="5"/>
  <c r="D107" i="5"/>
  <c r="J106" i="5"/>
  <c r="E106" i="5"/>
  <c r="D106" i="5"/>
  <c r="J105" i="5"/>
  <c r="E105" i="5"/>
  <c r="D105" i="5"/>
  <c r="J104" i="5"/>
  <c r="E104" i="5"/>
  <c r="D104" i="5"/>
  <c r="J103" i="5"/>
  <c r="E103" i="5"/>
  <c r="D103" i="5"/>
  <c r="J102" i="5"/>
  <c r="E102" i="5"/>
  <c r="D102" i="5"/>
  <c r="J101" i="5"/>
  <c r="E101" i="5"/>
  <c r="D101" i="5"/>
  <c r="J100" i="5"/>
  <c r="E100" i="5"/>
  <c r="D100" i="5"/>
  <c r="J99" i="5"/>
  <c r="E99" i="5"/>
  <c r="D99" i="5"/>
  <c r="J98" i="5"/>
  <c r="E98" i="5"/>
  <c r="D98" i="5"/>
  <c r="J97" i="5"/>
  <c r="E97" i="5"/>
  <c r="D97" i="5"/>
  <c r="J96" i="5"/>
  <c r="E96" i="5"/>
  <c r="D96" i="5"/>
  <c r="J95" i="5"/>
  <c r="E95" i="5"/>
  <c r="D95" i="5"/>
  <c r="J94" i="5"/>
  <c r="E94" i="5"/>
  <c r="D94" i="5"/>
  <c r="J93" i="5"/>
  <c r="E93" i="5"/>
  <c r="D93" i="5"/>
  <c r="J92" i="5"/>
  <c r="E92" i="5"/>
  <c r="D92" i="5"/>
  <c r="J91" i="5"/>
  <c r="E91" i="5"/>
  <c r="D91" i="5"/>
  <c r="J90" i="5"/>
  <c r="E90" i="5"/>
  <c r="D90" i="5"/>
  <c r="J89" i="5"/>
  <c r="E89" i="5"/>
  <c r="D89" i="5"/>
  <c r="J88" i="5"/>
  <c r="E88" i="5"/>
  <c r="D88" i="5"/>
  <c r="J87" i="5"/>
  <c r="E87" i="5"/>
  <c r="D87" i="5"/>
  <c r="J86" i="5"/>
  <c r="E86" i="5"/>
  <c r="D86" i="5"/>
  <c r="J85" i="5"/>
  <c r="E85" i="5"/>
  <c r="D85" i="5"/>
  <c r="J84" i="5"/>
  <c r="E84" i="5"/>
  <c r="D84" i="5"/>
  <c r="J83" i="5"/>
  <c r="E83" i="5"/>
  <c r="D83" i="5"/>
  <c r="J82" i="5"/>
  <c r="E82" i="5"/>
  <c r="D82" i="5"/>
  <c r="J81" i="5"/>
  <c r="E81" i="5"/>
  <c r="D81" i="5"/>
  <c r="J80" i="5"/>
  <c r="E80" i="5"/>
  <c r="D80" i="5"/>
  <c r="J79" i="5"/>
  <c r="E79" i="5"/>
  <c r="D79" i="5"/>
  <c r="J78" i="5"/>
  <c r="E78" i="5"/>
  <c r="D78" i="5"/>
  <c r="J77" i="5"/>
  <c r="E77" i="5"/>
  <c r="D77" i="5"/>
  <c r="J76" i="5"/>
  <c r="E76" i="5"/>
  <c r="D76" i="5"/>
  <c r="J75" i="5"/>
  <c r="E75" i="5"/>
  <c r="D75" i="5"/>
  <c r="J74" i="5"/>
  <c r="E74" i="5"/>
  <c r="D74" i="5"/>
  <c r="J73" i="5"/>
  <c r="E73" i="5"/>
  <c r="D73" i="5"/>
  <c r="J72" i="5"/>
  <c r="E72" i="5"/>
  <c r="D72" i="5"/>
  <c r="J71" i="5"/>
  <c r="E71" i="5"/>
  <c r="D71" i="5"/>
  <c r="J70" i="5"/>
  <c r="E70" i="5"/>
  <c r="D70" i="5"/>
  <c r="J69" i="5"/>
  <c r="E69" i="5"/>
  <c r="D69" i="5"/>
  <c r="J68" i="5"/>
  <c r="E68" i="5"/>
  <c r="D68" i="5"/>
  <c r="J67" i="5"/>
  <c r="E67" i="5"/>
  <c r="D67" i="5"/>
  <c r="J66" i="5"/>
  <c r="E66" i="5"/>
  <c r="D66" i="5"/>
  <c r="J65" i="5"/>
  <c r="E65" i="5"/>
  <c r="D65" i="5"/>
  <c r="J64" i="5"/>
  <c r="E64" i="5"/>
  <c r="D64" i="5"/>
  <c r="J63" i="5"/>
  <c r="E63" i="5"/>
  <c r="D63" i="5"/>
  <c r="J62" i="5"/>
  <c r="E62" i="5"/>
  <c r="D62" i="5"/>
  <c r="J61" i="5"/>
  <c r="E61" i="5"/>
  <c r="D61" i="5"/>
  <c r="J60" i="5"/>
  <c r="E60" i="5"/>
  <c r="D60" i="5"/>
  <c r="J59" i="5"/>
  <c r="E59" i="5"/>
  <c r="D59" i="5"/>
  <c r="J58" i="5"/>
  <c r="E58" i="5"/>
  <c r="D58" i="5"/>
  <c r="J57" i="5"/>
  <c r="E57" i="5"/>
  <c r="D57" i="5"/>
  <c r="J56" i="5"/>
  <c r="E56" i="5"/>
  <c r="D56" i="5"/>
  <c r="J55" i="5"/>
  <c r="E55" i="5"/>
  <c r="D55" i="5"/>
  <c r="J54" i="5"/>
  <c r="E54" i="5"/>
  <c r="D54" i="5"/>
  <c r="J53" i="5"/>
  <c r="E53" i="5"/>
  <c r="D53" i="5"/>
  <c r="J52" i="5"/>
  <c r="E52" i="5"/>
  <c r="D52" i="5"/>
  <c r="J51" i="5"/>
  <c r="E51" i="5"/>
  <c r="D51" i="5"/>
  <c r="J50" i="5"/>
  <c r="E50" i="5"/>
  <c r="D50" i="5"/>
  <c r="J49" i="5"/>
  <c r="E49" i="5"/>
  <c r="D49" i="5"/>
  <c r="J48" i="5"/>
  <c r="E48" i="5"/>
  <c r="D48" i="5"/>
  <c r="J47" i="5"/>
  <c r="E47" i="5"/>
  <c r="D47" i="5"/>
  <c r="J46" i="5"/>
  <c r="E46" i="5"/>
  <c r="D46" i="5"/>
  <c r="J45" i="5"/>
  <c r="E45" i="5"/>
  <c r="D45" i="5"/>
  <c r="J44" i="5"/>
  <c r="E44" i="5"/>
  <c r="D44" i="5"/>
  <c r="J43" i="5"/>
  <c r="E43" i="5"/>
  <c r="D43" i="5"/>
  <c r="J42" i="5"/>
  <c r="E42" i="5"/>
  <c r="D42" i="5"/>
  <c r="J41" i="5"/>
  <c r="E41" i="5"/>
  <c r="D41" i="5"/>
  <c r="J40" i="5"/>
  <c r="E40" i="5"/>
  <c r="D40" i="5"/>
  <c r="J39" i="5"/>
  <c r="E39" i="5"/>
  <c r="D39" i="5"/>
  <c r="J38" i="5"/>
  <c r="E38" i="5"/>
  <c r="D38" i="5"/>
  <c r="J37" i="5"/>
  <c r="E37" i="5"/>
  <c r="D37" i="5"/>
  <c r="J36" i="5"/>
  <c r="E36" i="5"/>
  <c r="D36" i="5"/>
  <c r="J35" i="5"/>
  <c r="E35" i="5"/>
  <c r="D35" i="5"/>
  <c r="J34" i="5"/>
  <c r="E34" i="5"/>
  <c r="D34" i="5"/>
  <c r="J33" i="5"/>
  <c r="E33" i="5"/>
  <c r="D33" i="5"/>
  <c r="J32" i="5"/>
  <c r="E32" i="5"/>
  <c r="D32" i="5"/>
  <c r="J31" i="5"/>
  <c r="E31" i="5"/>
  <c r="D31" i="5"/>
  <c r="J30" i="5"/>
  <c r="E30" i="5"/>
  <c r="D30" i="5"/>
  <c r="J29" i="5"/>
  <c r="E29" i="5"/>
  <c r="D29" i="5"/>
  <c r="J28" i="5"/>
  <c r="E28" i="5"/>
  <c r="D28" i="5"/>
  <c r="J27" i="5"/>
  <c r="E27" i="5"/>
  <c r="D27" i="5"/>
  <c r="J26" i="5"/>
  <c r="E26" i="5"/>
  <c r="D26" i="5"/>
  <c r="J25" i="5"/>
  <c r="E25" i="5"/>
  <c r="D25" i="5"/>
  <c r="J24" i="5"/>
  <c r="E24" i="5"/>
  <c r="D24" i="5"/>
  <c r="J23" i="5"/>
  <c r="E23" i="5"/>
  <c r="D23" i="5"/>
  <c r="J22" i="5"/>
  <c r="E22" i="5"/>
  <c r="D22" i="5"/>
  <c r="J21" i="5"/>
  <c r="E21" i="5"/>
  <c r="D21" i="5"/>
  <c r="J20" i="5"/>
  <c r="E20" i="5"/>
  <c r="D20" i="5"/>
  <c r="J19" i="5"/>
  <c r="E19" i="5"/>
  <c r="D19" i="5"/>
  <c r="J18" i="5"/>
  <c r="E18" i="5"/>
  <c r="D18" i="5"/>
  <c r="J17" i="5"/>
  <c r="E17" i="5"/>
  <c r="D17" i="5"/>
  <c r="J16" i="5"/>
  <c r="E16" i="5"/>
  <c r="D16" i="5"/>
  <c r="J15" i="5"/>
  <c r="E15" i="5"/>
  <c r="D15" i="5"/>
  <c r="J14" i="5"/>
  <c r="E14" i="5"/>
  <c r="D14" i="5"/>
  <c r="J13" i="5"/>
  <c r="E13" i="5"/>
  <c r="D13" i="5"/>
  <c r="J12" i="5"/>
  <c r="E12" i="5"/>
  <c r="D12" i="5"/>
  <c r="J11" i="5"/>
  <c r="E11" i="5"/>
  <c r="D11" i="5"/>
  <c r="J10" i="5"/>
  <c r="E10" i="5"/>
  <c r="D10" i="5"/>
  <c r="J9" i="5"/>
  <c r="E9" i="5"/>
  <c r="D9" i="5"/>
  <c r="J8" i="5"/>
  <c r="E8" i="5"/>
  <c r="D8" i="5"/>
  <c r="J7" i="5"/>
  <c r="E7" i="5"/>
  <c r="D7" i="5"/>
  <c r="J6" i="5"/>
  <c r="E6" i="5"/>
  <c r="D6" i="5"/>
  <c r="J5" i="5"/>
  <c r="E5" i="5"/>
  <c r="D5" i="5"/>
  <c r="J4" i="5"/>
  <c r="E4" i="5"/>
  <c r="D4" i="5"/>
  <c r="J3" i="5"/>
  <c r="E3" i="5"/>
  <c r="D3" i="5"/>
  <c r="J2" i="5"/>
  <c r="E2" i="5"/>
  <c r="D2" i="5"/>
  <c r="M96" i="1"/>
  <c r="E96" i="1"/>
  <c r="M95" i="1"/>
  <c r="E95" i="1"/>
  <c r="M94" i="1"/>
  <c r="E94" i="1"/>
  <c r="M93" i="1"/>
  <c r="E93" i="1"/>
  <c r="M92" i="1"/>
  <c r="E92" i="1"/>
  <c r="M91" i="1"/>
  <c r="E91" i="1"/>
  <c r="M90" i="1"/>
  <c r="E90" i="1"/>
  <c r="M89" i="1"/>
  <c r="E89" i="1"/>
  <c r="M88" i="1"/>
  <c r="E88" i="1"/>
  <c r="M87" i="1"/>
  <c r="E87" i="1"/>
  <c r="M86" i="1"/>
  <c r="E86" i="1"/>
  <c r="M85" i="1"/>
  <c r="E85" i="1"/>
  <c r="M84" i="1"/>
  <c r="E84" i="1"/>
  <c r="M83" i="1"/>
  <c r="E83" i="1"/>
  <c r="M82" i="1"/>
  <c r="E82" i="1"/>
  <c r="M81" i="1"/>
  <c r="E81" i="1"/>
  <c r="M80" i="1"/>
  <c r="E80" i="1"/>
  <c r="M79" i="1"/>
  <c r="E79" i="1"/>
  <c r="M78" i="1"/>
  <c r="E78" i="1"/>
  <c r="M77" i="1"/>
  <c r="E77" i="1"/>
  <c r="M76" i="1"/>
  <c r="E76" i="1"/>
  <c r="M75" i="1"/>
  <c r="E75" i="1"/>
  <c r="M74" i="1"/>
  <c r="E74" i="1"/>
  <c r="M73" i="1"/>
  <c r="E73" i="1"/>
  <c r="M72" i="1"/>
  <c r="E72" i="1"/>
  <c r="M71" i="1"/>
  <c r="E71" i="1"/>
  <c r="M70" i="1"/>
  <c r="E70" i="1"/>
  <c r="M69" i="1"/>
  <c r="E69" i="1"/>
  <c r="M68" i="1"/>
  <c r="E68" i="1"/>
  <c r="M67" i="1"/>
  <c r="E67" i="1"/>
  <c r="M66" i="1"/>
  <c r="E66" i="1"/>
  <c r="M65" i="1"/>
  <c r="E65" i="1"/>
  <c r="M64" i="1"/>
  <c r="E64" i="1"/>
  <c r="M63" i="1"/>
  <c r="E63" i="1"/>
  <c r="M62" i="1"/>
  <c r="E62" i="1"/>
  <c r="M61" i="1"/>
  <c r="E61" i="1"/>
  <c r="M60" i="1"/>
  <c r="E60" i="1"/>
  <c r="M59" i="1"/>
  <c r="E59" i="1"/>
  <c r="M58" i="1"/>
  <c r="E58" i="1"/>
  <c r="M57" i="1"/>
  <c r="E57" i="1"/>
  <c r="M56" i="1"/>
  <c r="E56" i="1"/>
  <c r="M55" i="1"/>
  <c r="E55" i="1"/>
  <c r="M54" i="1"/>
  <c r="E54" i="1"/>
  <c r="M53" i="1"/>
  <c r="E53" i="1"/>
  <c r="M52" i="1"/>
  <c r="E52" i="1"/>
  <c r="M51" i="1"/>
  <c r="E51" i="1"/>
  <c r="M50" i="1"/>
  <c r="E50" i="1"/>
  <c r="M49" i="1"/>
  <c r="E49" i="1"/>
  <c r="M48" i="1"/>
  <c r="E48" i="1"/>
  <c r="M47" i="1"/>
  <c r="E47" i="1"/>
  <c r="M46" i="1"/>
  <c r="E46" i="1"/>
  <c r="M45" i="1"/>
  <c r="E45" i="1"/>
  <c r="M44" i="1"/>
  <c r="E44" i="1"/>
  <c r="M43" i="1"/>
  <c r="E43" i="1"/>
  <c r="M42" i="1"/>
  <c r="E42" i="1"/>
  <c r="M41" i="1"/>
  <c r="E41" i="1"/>
  <c r="M40" i="1"/>
  <c r="E40" i="1"/>
  <c r="M39" i="1"/>
  <c r="E39" i="1"/>
  <c r="M38" i="1"/>
  <c r="E38" i="1"/>
  <c r="M37" i="1"/>
  <c r="E37" i="1"/>
  <c r="M36" i="1"/>
  <c r="E36" i="1"/>
  <c r="M35" i="1"/>
  <c r="E35" i="1"/>
  <c r="M34" i="1"/>
  <c r="E34" i="1"/>
  <c r="M33" i="1"/>
  <c r="E33" i="1"/>
  <c r="M32" i="1"/>
  <c r="E32" i="1"/>
  <c r="M31" i="1"/>
  <c r="E31" i="1"/>
  <c r="M30" i="1"/>
  <c r="E30" i="1"/>
  <c r="M29" i="1"/>
  <c r="E29" i="1"/>
  <c r="M28" i="1"/>
  <c r="E28" i="1"/>
  <c r="M27" i="1"/>
  <c r="E27" i="1"/>
  <c r="M26" i="1"/>
  <c r="E26" i="1"/>
  <c r="M25" i="1"/>
  <c r="E25" i="1"/>
  <c r="M24" i="1"/>
  <c r="E24" i="1"/>
  <c r="M23" i="1"/>
  <c r="E23" i="1"/>
  <c r="M22" i="1"/>
  <c r="E22" i="1"/>
  <c r="M21" i="1"/>
  <c r="E21" i="1"/>
  <c r="M20" i="1"/>
  <c r="E20" i="1"/>
  <c r="M19" i="1"/>
  <c r="E19" i="1"/>
  <c r="M18" i="1"/>
  <c r="E18" i="1"/>
  <c r="M17" i="1"/>
  <c r="E17" i="1"/>
  <c r="M16" i="1"/>
  <c r="E16" i="1"/>
  <c r="M15" i="1"/>
  <c r="E15" i="1"/>
  <c r="M14" i="1"/>
  <c r="E14" i="1"/>
  <c r="M13" i="1"/>
  <c r="E13" i="1"/>
  <c r="M12" i="1"/>
  <c r="E12" i="1"/>
  <c r="M11" i="1"/>
  <c r="E11" i="1"/>
  <c r="M10" i="1"/>
  <c r="E10" i="1"/>
  <c r="M9" i="1"/>
  <c r="E9" i="1"/>
  <c r="M8" i="1"/>
  <c r="E8" i="1"/>
  <c r="M7" i="1"/>
  <c r="E7" i="1"/>
  <c r="M6" i="1"/>
  <c r="E6" i="1"/>
  <c r="M5" i="1"/>
  <c r="E5" i="1"/>
  <c r="M4" i="1"/>
  <c r="E4" i="1"/>
  <c r="M3" i="1"/>
  <c r="E3" i="1"/>
  <c r="M2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MARKO.ROGELJ</author>
  </authors>
  <commentList>
    <comment ref="A3" authorId="0" shapeId="0" xr:uid="{174C0DF1-66F2-4040-9242-BEDC34BD97DC}">
      <text>
        <r>
          <rPr>
            <b/>
            <sz val="9"/>
            <color indexed="81"/>
            <rFont val="Tahoma"/>
            <family val="2"/>
          </rPr>
          <t>Option
0: Artikel
1: Naskladiščni artikel</t>
        </r>
      </text>
    </comment>
    <comment ref="B3" authorId="0" shapeId="0" xr:uid="{D8162056-E391-46AD-9AD7-FCE789BA3A29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C3" authorId="0" shapeId="0" xr:uid="{067FF02B-5BC9-4E10-82E4-66FE75F9F36C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D3" authorId="0" shapeId="0" xr:uid="{58C8451D-D95E-441E-9925-563167ECA7C6}">
      <text>
        <r>
          <rPr>
            <b/>
            <sz val="9"/>
            <color indexed="81"/>
            <rFont val="Tahoma"/>
            <family val="2"/>
          </rPr>
          <t>Option
0: Artikel
1: Naskladiščni artikel</t>
        </r>
      </text>
    </comment>
    <comment ref="E3" authorId="0" shapeId="0" xr:uid="{EF5B0E71-2936-4C48-B3C0-AC9E6D0043FB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F3" authorId="0" shapeId="0" xr:uid="{EFFA40BB-99C6-42E8-9A1C-77079A309276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G3" authorId="0" shapeId="0" xr:uid="{E70C5CDB-3AFC-4122-893D-6719C3F8541F}">
      <text>
        <r>
          <rPr>
            <b/>
            <sz val="9"/>
            <color indexed="81"/>
            <rFont val="Tahoma"/>
            <family val="2"/>
          </rPr>
          <t>Text100</t>
        </r>
      </text>
    </comment>
    <comment ref="H3" authorId="0" shapeId="0" xr:uid="{7D612B0C-56D8-44B9-ACD3-69C2D3F29A31}">
      <text>
        <r>
          <rPr>
            <b/>
            <sz val="9"/>
            <color indexed="81"/>
            <rFont val="Tahoma"/>
            <family val="2"/>
          </rPr>
          <t>Decimal</t>
        </r>
      </text>
    </comment>
    <comment ref="I3" authorId="0" shapeId="0" xr:uid="{2A43DE08-5631-4B75-A99B-AC51E6FC5173}">
      <text>
        <r>
          <rPr>
            <b/>
            <sz val="9"/>
            <color indexed="81"/>
            <rFont val="Tahoma"/>
            <family val="2"/>
          </rPr>
          <t>Boolean</t>
        </r>
      </text>
    </comment>
    <comment ref="J3" authorId="0" shapeId="0" xr:uid="{764AAE68-335C-41CA-B10F-DA7179515638}">
      <text>
        <r>
          <rPr>
            <b/>
            <sz val="9"/>
            <color indexed="81"/>
            <rFont val="Tahoma"/>
            <family val="2"/>
          </rPr>
          <t>Integer</t>
        </r>
      </text>
    </comment>
    <comment ref="K3" authorId="0" shapeId="0" xr:uid="{8807796A-3F15-4DF0-BFF2-381444979449}">
      <text>
        <r>
          <rPr>
            <b/>
            <sz val="9"/>
            <color indexed="81"/>
            <rFont val="Tahoma"/>
            <family val="2"/>
          </rPr>
          <t>Decimal</t>
        </r>
      </text>
    </comment>
    <comment ref="L3" authorId="0" shapeId="0" xr:uid="{6CBE6B4C-DBDD-4FE4-9294-D5F18E1CD431}">
      <text>
        <r>
          <rPr>
            <b/>
            <sz val="9"/>
            <color indexed="81"/>
            <rFont val="Tahoma"/>
            <family val="2"/>
          </rPr>
          <t>Date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tc={59AB0382-1851-4010-8445-E5FAD52284C1}</author>
  </authors>
  <commentList>
    <comment ref="E1" authorId="0" shapeId="0" xr:uid="{59AB0382-1851-4010-8445-E5FAD52284C1}">
      <text>
        <t>[Pripomba v niti]
Vaša različica programa Excel dovoljuje branje te pripombe v niti, vendar pa bodo vse spremembe odstranjene, če bo datoteka odprta v novejši različici programa Excel. Več informacij: https://go.microsoft.com/fwlink/?linkid=870924.
Pripomba:
    Nadomestek ni upoštevan!!</t>
      </text>
    </comment>
  </commentList>
</comments>
</file>

<file path=xl/sharedStrings.xml><?xml version="1.0" encoding="utf-8"?>
<sst xmlns="http://schemas.openxmlformats.org/spreadsheetml/2006/main" count="7449" uniqueCount="1092">
  <si>
    <t>Ime</t>
  </si>
  <si>
    <t>Opozorilo</t>
  </si>
  <si>
    <t>Št.</t>
  </si>
  <si>
    <t>Sporočilo o dejanju</t>
  </si>
  <si>
    <t>Sprejmi sporočilo o dejanju</t>
  </si>
  <si>
    <t>Prvotni datum zapadlosti</t>
  </si>
  <si>
    <t>Datum naloga</t>
  </si>
  <si>
    <t>Datum zapadlosti</t>
  </si>
  <si>
    <t>Končni datum</t>
  </si>
  <si>
    <t>Opis</t>
  </si>
  <si>
    <t>Št. proizvodne kosovnice</t>
  </si>
  <si>
    <t>Prvotna količina</t>
  </si>
  <si>
    <t>Nalog MPS</t>
  </si>
  <si>
    <t>Količina</t>
  </si>
  <si>
    <t>Vrsta referenčnega naloga</t>
  </si>
  <si>
    <t>Št. dobavitelja</t>
  </si>
  <si>
    <t>ItemDescription</t>
  </si>
  <si>
    <t>Opis proizvodnega postopka</t>
  </si>
  <si>
    <t>JANEZ-MRP</t>
  </si>
  <si>
    <t xml:space="preserve"> </t>
  </si>
  <si>
    <t>000002</t>
  </si>
  <si>
    <t>Novo</t>
  </si>
  <si>
    <t>L-Arginine hydrochloride [vegan] RM079-A (Vita Actives)</t>
  </si>
  <si>
    <t/>
  </si>
  <si>
    <t>Nabava</t>
  </si>
  <si>
    <t>0002</t>
  </si>
  <si>
    <t>Attention</t>
  </si>
  <si>
    <t>000024</t>
  </si>
  <si>
    <t>Magnesium Citrate Tribasic anhydrous RM450 (Vita Actives) RM450</t>
  </si>
  <si>
    <t>000025</t>
  </si>
  <si>
    <t>B-Complex Capsule Premix PRM101 (VitaActives)</t>
  </si>
  <si>
    <t>000030</t>
  </si>
  <si>
    <t>Magnesium Carbonate Heavy Powder (Vita Actives)RM1372-A</t>
  </si>
  <si>
    <t>000032</t>
  </si>
  <si>
    <t>Magnesium Stearate [Vegetable] (Vita Actives)RM465</t>
  </si>
  <si>
    <t>000034</t>
  </si>
  <si>
    <t>D-RIBOSE (Vita Actives) RM056</t>
  </si>
  <si>
    <t>000035</t>
  </si>
  <si>
    <t>RHODIOLA DE 3% ROSAVINS 1% SALIDROSIDE (Vita Actives) RM461</t>
  </si>
  <si>
    <t>000036</t>
  </si>
  <si>
    <t>KSM-66® [Ashwagandha extract] RM1236</t>
  </si>
  <si>
    <t>000047</t>
  </si>
  <si>
    <t>TeaXcel® E40 - Green tea leaf 95% polyphenols RM303</t>
  </si>
  <si>
    <t>000049</t>
  </si>
  <si>
    <t>CAYENNE PEPER 10:1 (Vita Actives) RM4766</t>
  </si>
  <si>
    <t>000051</t>
  </si>
  <si>
    <t xml:space="preserve">Grape Seed Extract GSE (Vita Actives) RM4160 </t>
  </si>
  <si>
    <t>000053</t>
  </si>
  <si>
    <t>Caffeine Anhydrous powder (Vita Actives) RM017</t>
  </si>
  <si>
    <t>000055</t>
  </si>
  <si>
    <t>Magnesium Oxide DC Granular RM118B  (Vita Actives)</t>
  </si>
  <si>
    <t>000056</t>
  </si>
  <si>
    <t>Isomaltulose Powder RM1501 (Vita Actives)</t>
  </si>
  <si>
    <t>000060</t>
  </si>
  <si>
    <t>Citric Acid Anhydrous (Pharmavit)</t>
  </si>
  <si>
    <t>0006</t>
  </si>
  <si>
    <t>000061</t>
  </si>
  <si>
    <t>Calcium pyruvate  powder RM730 (VitaActives)</t>
  </si>
  <si>
    <t>000063</t>
  </si>
  <si>
    <t>GINSENG EXTRACT 80% RM 713 (VitaActives)</t>
  </si>
  <si>
    <t>000068</t>
  </si>
  <si>
    <t>00123  Cordyceps 7% Cordiceptic Acid extract powder (Alpine Nutrition)</t>
  </si>
  <si>
    <t>0078</t>
  </si>
  <si>
    <t>000071</t>
  </si>
  <si>
    <t>Creatine HCL  hydrochloride RM 032  (VitaActives)</t>
  </si>
  <si>
    <t>000072</t>
  </si>
  <si>
    <t>Beta Vulgaris extract 10:1 (Vita Actives) RM4790</t>
  </si>
  <si>
    <t>000073</t>
  </si>
  <si>
    <t>Red spinach extract (9% Nitrate conc.) (Vita Actives) RM4560</t>
  </si>
  <si>
    <t>000074</t>
  </si>
  <si>
    <t>Arugula extract 10:1 (Vita Actives) RM4783</t>
  </si>
  <si>
    <t>000076</t>
  </si>
  <si>
    <t>L-Carnitin-L-Tartrate (Pharmavit) A0531</t>
  </si>
  <si>
    <t>000077</t>
  </si>
  <si>
    <t>A1399 N-Acetyl-L-Carnitin (Pharmavit) 	A1399</t>
  </si>
  <si>
    <t>000078</t>
  </si>
  <si>
    <t>Bearberry [Arctostaphylos uva-ursi] leaf 20% Arbutin [HPLC] powder extract (RM4422)</t>
  </si>
  <si>
    <t>000079</t>
  </si>
  <si>
    <t>Dandelion [Taraxacum officinale] root 2% Flavones [UV] powder extract (5 to 1) (RM1378)</t>
  </si>
  <si>
    <t>000080</t>
  </si>
  <si>
    <t>Parsley [Petroselinum crispum] herb 10 to 1 powder extract (RM4626)</t>
  </si>
  <si>
    <t>000082</t>
  </si>
  <si>
    <t>Artichoke [Cynara scolymus L] leaf 5% Cynarin [UV] powder extract (RM1293)</t>
  </si>
  <si>
    <t>000083</t>
  </si>
  <si>
    <t>Pyridoxine hydrochloride powder [Vitamin B6] RM135 (VitaActives)</t>
  </si>
  <si>
    <t>000084</t>
  </si>
  <si>
    <t>TriPotassium Citrate anhydrous powder RM2042 (VitaActives)</t>
  </si>
  <si>
    <t>000104</t>
  </si>
  <si>
    <t>Magnesium citrate buffered [30% Mg] powder RM2006 (VitaActives)</t>
  </si>
  <si>
    <t>000105</t>
  </si>
  <si>
    <t>A1306_B AMINOFERMENT® Beta Alanin (Pharmavit)</t>
  </si>
  <si>
    <t>000116</t>
  </si>
  <si>
    <t>Senactiv (HSH)</t>
  </si>
  <si>
    <t>0003</t>
  </si>
  <si>
    <t>000127</t>
  </si>
  <si>
    <t xml:space="preserve">Cholecalciferol [100,000 IU per g [0.25% D3]] powder RM159-B (VitaActives) - Vitamin D3 </t>
  </si>
  <si>
    <t>000131</t>
  </si>
  <si>
    <t>L-ORNITHINE HCL - O1063201 (AlpineGroup)</t>
  </si>
  <si>
    <t>000138</t>
  </si>
  <si>
    <t>Fructo-oligosaccharides [FOS] Powder [Low aw] [Source: Sugarcane] (RM1525-A) VitaActives</t>
  </si>
  <si>
    <t>000139</t>
  </si>
  <si>
    <t>Art. 849FRF – exGrape™ SEED OPCFR Grape Seed Extract (Breko)</t>
  </si>
  <si>
    <t>0133</t>
  </si>
  <si>
    <t>000143</t>
  </si>
  <si>
    <t>Glucomannan 95% [Ex- Amorphophallus konjac] RM1285 (VitaActives)</t>
  </si>
  <si>
    <t>000145</t>
  </si>
  <si>
    <t>L-Tyrosine powder [Vegan] RM563 (VitaActives)</t>
  </si>
  <si>
    <t>000146</t>
  </si>
  <si>
    <t>L-Carnitine L-Tartrate powder [60 mesh] RM082-A (VitaActives)</t>
  </si>
  <si>
    <t>000147</t>
  </si>
  <si>
    <t>Choline (L+) Bitartrate Powder [Conditioned with 1% Silica] RM567-A</t>
  </si>
  <si>
    <t>000148</t>
  </si>
  <si>
    <t>Coleus [Coleus forskohlii] root 4 t 1 powder extract RM4761 (VitaActives)</t>
  </si>
  <si>
    <t>000149</t>
  </si>
  <si>
    <t>African mango [Irvingia gabonensis] seed 10 to 1 powder extract RM786 (VitaActives)</t>
  </si>
  <si>
    <t>000150</t>
  </si>
  <si>
    <t>Parsley [Petroselinum crispum] herb 10 to 1 powder extract RM4626 (VitaActives)</t>
  </si>
  <si>
    <t>000151</t>
  </si>
  <si>
    <t>Bromelain 2500 GDU/g [Ex-Ananas comosus L.] powder RM7005-A (VitaActives)</t>
  </si>
  <si>
    <t>000152</t>
  </si>
  <si>
    <t>Actamide - Black pepper [Piper nigrum] fruit 95% piperine powder extract RM012-A (VitaActives)</t>
  </si>
  <si>
    <t>000155</t>
  </si>
  <si>
    <t>Fenugreek Extract (AlpineGroup)</t>
  </si>
  <si>
    <t>000156</t>
  </si>
  <si>
    <t>Magnesium Stearate (Vegetable) (MOSSELMAN)</t>
  </si>
  <si>
    <t>0062</t>
  </si>
  <si>
    <t>000157</t>
  </si>
  <si>
    <t>Ashwaganda Extact (7% withanolides)  (AlpineGroup)</t>
  </si>
  <si>
    <t>000159</t>
  </si>
  <si>
    <t xml:space="preserve">Black Maca [Lepidium meyenii Walp.] RM4336 (VitaActives) </t>
  </si>
  <si>
    <t>000160</t>
  </si>
  <si>
    <t>Suma [Pfaffia Paniculata] root 10 to 1 powder extract RM5201 (VitaActives)</t>
  </si>
  <si>
    <t>000161</t>
  </si>
  <si>
    <t>D-Aspartic acid powder RM048 (VitaActives)</t>
  </si>
  <si>
    <t>000162</t>
  </si>
  <si>
    <t>Boron bisglycinate [3.5% B] powder RM2005 (VitaActives)</t>
  </si>
  <si>
    <t>000163</t>
  </si>
  <si>
    <t>Red Ginseng Extract (10% ginsenosides) (AlpineGroup)</t>
  </si>
  <si>
    <t>000164</t>
  </si>
  <si>
    <t>Shilajit Extract (AlpineGroup)</t>
  </si>
  <si>
    <t>000165</t>
  </si>
  <si>
    <t>Tribulus Terrestris Extract (90% saponins)  (AlpineGorup)</t>
  </si>
  <si>
    <t>000167</t>
  </si>
  <si>
    <t>Magnesium L-Aspartate powder VA RM2056 (VitaActives)</t>
  </si>
  <si>
    <t>000179</t>
  </si>
  <si>
    <t>Cordyceps Sinensis Extract 34-19 (Alpine)</t>
  </si>
  <si>
    <t>000182</t>
  </si>
  <si>
    <t>LIME POWDER FLAVOUR SD NATURAL 221620 (Frutol)</t>
  </si>
  <si>
    <t>000184</t>
  </si>
  <si>
    <t>ARTICHOKE EXTRACT 2-5% CYNARINE 88170 (Frutol)</t>
  </si>
  <si>
    <t>000188</t>
  </si>
  <si>
    <t>DANDELION ROOT 10-1 DRY EXTRACT (Alpine)</t>
  </si>
  <si>
    <t>000190</t>
  </si>
  <si>
    <t>Spirulina Powder 26-4 (Alpine)</t>
  </si>
  <si>
    <t>000191</t>
  </si>
  <si>
    <t>Japanese sophora extract-Quercetin 68-19 (Alpine)</t>
  </si>
  <si>
    <t>000192</t>
  </si>
  <si>
    <t>Black Elderberry Extract 69-19 (Alpine)</t>
  </si>
  <si>
    <t>000193</t>
  </si>
  <si>
    <t>SODIUM BICARBONATE WITHOUT ACA (Palconutrifit)</t>
  </si>
  <si>
    <t>000195</t>
  </si>
  <si>
    <t>Calcium Citrat (Schmidt Pharma)</t>
  </si>
  <si>
    <t>060000</t>
  </si>
  <si>
    <t>Black tea 222568 (FRUTOL)</t>
  </si>
  <si>
    <t>0001</t>
  </si>
  <si>
    <t>060001</t>
  </si>
  <si>
    <t>Lemon 220001 (FRUTOL)</t>
  </si>
  <si>
    <t>060002</t>
  </si>
  <si>
    <t>Banana (221545 (FRUTOL)</t>
  </si>
  <si>
    <t>060003</t>
  </si>
  <si>
    <t>Caramel 221503 (FRUTOL)</t>
  </si>
  <si>
    <t>060004</t>
  </si>
  <si>
    <t>Peach 221549 (FRUTOL)</t>
  </si>
  <si>
    <t>060007</t>
  </si>
  <si>
    <t>Green Apple 222072 (FRTOL)</t>
  </si>
  <si>
    <t>060008</t>
  </si>
  <si>
    <t>Lemon Lime 222180 (FRUTOL)</t>
  </si>
  <si>
    <t>Exception</t>
  </si>
  <si>
    <t>060010</t>
  </si>
  <si>
    <t>Apricot flavour 222074 (FRUTOL)</t>
  </si>
  <si>
    <t>080014</t>
  </si>
  <si>
    <t>Cps HX HPMC "00" transparent 105mg (ACG)</t>
  </si>
  <si>
    <t>0035</t>
  </si>
  <si>
    <t>080016</t>
  </si>
  <si>
    <t>A1529 HPMC#0 98mg Capsules (Pharmavit)_new</t>
  </si>
  <si>
    <t>080018</t>
  </si>
  <si>
    <t>A1528 HPMC#00 124mg Capsules (Pharmavit)_new</t>
  </si>
  <si>
    <t>Oznake vrstic</t>
  </si>
  <si>
    <t>Skupna vsota</t>
  </si>
  <si>
    <t>Vsota od Količina</t>
  </si>
  <si>
    <t>JJ-POSAMEZNO</t>
  </si>
  <si>
    <t>Nadomeščanje artikla</t>
  </si>
  <si>
    <t>5715</t>
  </si>
  <si>
    <t>Vrsta</t>
  </si>
  <si>
    <t>Šifra različice</t>
  </si>
  <si>
    <t>Vrsta nadomestka</t>
  </si>
  <si>
    <t>Št. nadomestka</t>
  </si>
  <si>
    <t>Šifra različice nadomestka</t>
  </si>
  <si>
    <t>Zaloga</t>
  </si>
  <si>
    <t>Izmenljivo</t>
  </si>
  <si>
    <t>Nivo odnosov</t>
  </si>
  <si>
    <t>Količina na voljo na datum dobave</t>
  </si>
  <si>
    <t>Datum dobave</t>
  </si>
  <si>
    <t>Artikel</t>
  </si>
  <si>
    <t>000001</t>
  </si>
  <si>
    <t>000113</t>
  </si>
  <si>
    <t>A1101 AMINOFERMENT® L-Glutamin (Pharmavit)</t>
  </si>
  <si>
    <t>0</t>
  </si>
  <si>
    <t>true</t>
  </si>
  <si>
    <t>000123</t>
  </si>
  <si>
    <t>L-Glutamine (Vegan) BIOSTILE</t>
  </si>
  <si>
    <t>000089</t>
  </si>
  <si>
    <t xml:space="preserve"> AMINOFERMENT® L-Arginin HCL A0147_B (pharmavit)</t>
  </si>
  <si>
    <t>000003</t>
  </si>
  <si>
    <t>000023</t>
  </si>
  <si>
    <t>L-LYSINE HCL 88079 (FRUTOL)</t>
  </si>
  <si>
    <t>000114</t>
  </si>
  <si>
    <t>A0876 AMINOFERMENT® L-Lysin HCL (Pharmavit)</t>
  </si>
  <si>
    <t>000006</t>
  </si>
  <si>
    <t>000090</t>
  </si>
  <si>
    <t>L-Glycine (HSH)</t>
  </si>
  <si>
    <t>false</t>
  </si>
  <si>
    <t>000124</t>
  </si>
  <si>
    <t>A0552 AMINOFERMENT® L-Glycin (Pharmavit)</t>
  </si>
  <si>
    <t>000007</t>
  </si>
  <si>
    <t>Magnesium Citrate Tribasic anhydrous (Vita Actives) RM450</t>
  </si>
  <si>
    <t>000106</t>
  </si>
  <si>
    <t>A0477 Magnesium Citrate Anhydrous DC (Pharmavit)</t>
  </si>
  <si>
    <t>000118</t>
  </si>
  <si>
    <t>Magnesium citrate anhydrous A0729 (Pharmavit)</t>
  </si>
  <si>
    <t>000008</t>
  </si>
  <si>
    <t>000115</t>
  </si>
  <si>
    <t>A1109 AMINOFERMENT® L-Methionin (Pharmavit)</t>
  </si>
  <si>
    <t>000009</t>
  </si>
  <si>
    <t>000026</t>
  </si>
  <si>
    <t>Rose hip dry extract PR2075</t>
  </si>
  <si>
    <t>000010</t>
  </si>
  <si>
    <t>000128</t>
  </si>
  <si>
    <t xml:space="preserve">inavea Essential low water activity (Nexira) </t>
  </si>
  <si>
    <t>000132</t>
  </si>
  <si>
    <t>NutriDex 18 (maltodekstrin) 17029050</t>
  </si>
  <si>
    <t>000011</t>
  </si>
  <si>
    <t>000027</t>
  </si>
  <si>
    <t>Lemon Powder Organic PFI500414  (Nexira)</t>
  </si>
  <si>
    <t>000012</t>
  </si>
  <si>
    <t>000022</t>
  </si>
  <si>
    <t>L-Cysteine HCl monohydrate [vegan] RM740 (Vita Actives)</t>
  </si>
  <si>
    <t>000028</t>
  </si>
  <si>
    <t>L-CYSTEINE HCL MONOHYDRATE 88088 (FRUTOL)</t>
  </si>
  <si>
    <t>L-Cysteine HCl monohydrate (HSH Chemie)</t>
  </si>
  <si>
    <t>L-Lysine HCL 12-80 mesh (TER INGREDIENTS)</t>
  </si>
  <si>
    <t>Magnesium citrate anhydrous (HSH)</t>
  </si>
  <si>
    <t>DOG ROSE FRUIT EXTRACT 70% 88022 (FRUTOL)</t>
  </si>
  <si>
    <t>AKRAROM LEMON FRUIT POWDER 75600142 (AKRAS)</t>
  </si>
  <si>
    <t>000098</t>
  </si>
  <si>
    <t>A0162 Magnesium Stearate (Pharmavit)</t>
  </si>
  <si>
    <t>000102</t>
  </si>
  <si>
    <t>Mg stearate (HSH)</t>
  </si>
  <si>
    <t>000033</t>
  </si>
  <si>
    <t>000185</t>
  </si>
  <si>
    <t>Val – Rhodiola Rosea - standardized extract 65-15 (3% rosavins, 1% salidroside) (AlpineGroup)</t>
  </si>
  <si>
    <t>000039</t>
  </si>
  <si>
    <t>000110</t>
  </si>
  <si>
    <t xml:space="preserve">A1151 Calcium Citrate Granular (Pharmavit) </t>
  </si>
  <si>
    <t>000040</t>
  </si>
  <si>
    <t>000111</t>
  </si>
  <si>
    <t>A0928 Zinc Bisglycinate 20% (Pharmavit)</t>
  </si>
  <si>
    <t>000041</t>
  </si>
  <si>
    <t>000120</t>
  </si>
  <si>
    <t>Tripotassium Citrate Monohydrate Fine (Lehvoss DE)</t>
  </si>
  <si>
    <t>000043</t>
  </si>
  <si>
    <t>000065</t>
  </si>
  <si>
    <t>Vitamin C (Ascorbic Acid) P2213 (Cambridge Comm.)</t>
  </si>
  <si>
    <t>000097</t>
  </si>
  <si>
    <t>A0111 Ascorbic Acid Crystal Vitamin C (Pharmavit)</t>
  </si>
  <si>
    <t>000045</t>
  </si>
  <si>
    <t>000109</t>
  </si>
  <si>
    <t>A0777 Magnesium Bisglycinate 20% Powder (Pharmavit)</t>
  </si>
  <si>
    <t>000050</t>
  </si>
  <si>
    <t>000187</t>
  </si>
  <si>
    <t>Ginger Extract 71-9 (Alpine)</t>
  </si>
  <si>
    <t>000052</t>
  </si>
  <si>
    <t>000112</t>
  </si>
  <si>
    <t>A1145 Caffein Anhydrous (Pharmavit)</t>
  </si>
  <si>
    <t>000107</t>
  </si>
  <si>
    <t>A0161 Magnesium Oxide DC (Pharmavit)</t>
  </si>
  <si>
    <t>000058</t>
  </si>
  <si>
    <t>000108</t>
  </si>
  <si>
    <t>A1069 Xylitol DC (Pharmavit)</t>
  </si>
  <si>
    <t>000062</t>
  </si>
  <si>
    <t>Ascorbic acid powder [Vitamin C] RM002-D (V. Act.)</t>
  </si>
  <si>
    <t>Cordyceps Sinensis Extract 64-20 (Alpine)</t>
  </si>
  <si>
    <t>000121</t>
  </si>
  <si>
    <t>Arugula extract 10:1 Alpine Nutrition</t>
  </si>
  <si>
    <t>000075</t>
  </si>
  <si>
    <t>DANDELION ROOT 10-1 DRY EXTRAC (Vita Actives) RM4770</t>
  </si>
  <si>
    <t>Tripotassium Citrate Monohydrate  (Vita Actives)  RM325A</t>
  </si>
  <si>
    <t>L-Arginine hydrochloride [vegan] (Vita Actives)</t>
  </si>
  <si>
    <t>000141</t>
  </si>
  <si>
    <t>Ascorbic Acid Vitamin C 221045 (FRUTOL)</t>
  </si>
  <si>
    <t>BETA-ALANINE [VEGAN](Vita Actives) RM007B</t>
  </si>
  <si>
    <t>XYLITOL CRYSTALLINE POWDER 30 MASH (HSH)</t>
  </si>
  <si>
    <t>Magnesium bisglycinate buffered [20% Mg] DC (Vita Actives) RM765</t>
  </si>
  <si>
    <t>Calcium citrate (Vita Actives) RM018-B</t>
  </si>
  <si>
    <t>ZINC BISGLYCINATE  20%  (Vita Actives) RM391</t>
  </si>
  <si>
    <t>L-GLUTAMINE (VEGAN) 88017 (FRUTOL)</t>
  </si>
  <si>
    <t>L-Lysine HCL (HSH)</t>
  </si>
  <si>
    <t>L-Methionine [vegan] (Gonmisol)</t>
  </si>
  <si>
    <t>Senactiv® (JDS)</t>
  </si>
  <si>
    <t>Glycine powder RM063-A (Vita Actives)</t>
  </si>
  <si>
    <t>000125</t>
  </si>
  <si>
    <t>000126</t>
  </si>
  <si>
    <t>Magnesium Bisglycinate Anhydrous [13% Mg] powder (RM734)</t>
  </si>
  <si>
    <t>Magnesium Bisglycinate 11.5% Powder (Pharmavit)</t>
  </si>
  <si>
    <t>Maltodextrin (VitaActives)RM311-C</t>
  </si>
  <si>
    <t>000176</t>
  </si>
  <si>
    <t>000196</t>
  </si>
  <si>
    <t>TriSodium Citrate Dihydrate fine granular powder RM155 (PALCONutrifit)</t>
  </si>
  <si>
    <t>000177</t>
  </si>
  <si>
    <t>000197</t>
  </si>
  <si>
    <t>Potassium Chloride powder [With Anticaking Agent] (RM313) (PALCONutrifit)</t>
  </si>
  <si>
    <t>Ginger Root Extract (Vita Actives) RM179</t>
  </si>
  <si>
    <t>Sodium bicarbonate (BICAR FOOOD)  88085 FRUTOL</t>
  </si>
  <si>
    <t>TriSodium Citrate Dihydrate fine granular powder RM155 (VItaActives)</t>
  </si>
  <si>
    <t>Potassium Chloride powder [With Anticaking Agent] (RM313) (VitaActives)</t>
  </si>
  <si>
    <t>080000</t>
  </si>
  <si>
    <t>080005</t>
  </si>
  <si>
    <t>A1529 HPMC#0 Capsules</t>
  </si>
  <si>
    <t>080001</t>
  </si>
  <si>
    <t>080007</t>
  </si>
  <si>
    <t>A1528 HPMC#00 Capsules</t>
  </si>
  <si>
    <t>080002</t>
  </si>
  <si>
    <t>080006</t>
  </si>
  <si>
    <t>Cps PRO HPMC "1" Clear 75mg (Suheung)</t>
  </si>
  <si>
    <t>080009</t>
  </si>
  <si>
    <t>Cps Vcaps HPMC "1" Transparet 75mg (Capsugel)</t>
  </si>
  <si>
    <t>Cps A1038 HPMC "0"Transparent 97mg (Pharmavit)</t>
  </si>
  <si>
    <t>Cps HPMC "1" Transparent 77mg (Pharmavit)</t>
  </si>
  <si>
    <t>Cps A1076 HPMC "00" Transparent 123mg (Pharmavit)</t>
  </si>
  <si>
    <t>Cps HPMC "1" Transparent 77mg A1039 (Pharmavit)</t>
  </si>
  <si>
    <t>300006</t>
  </si>
  <si>
    <t>300019</t>
  </si>
  <si>
    <t>POK Closure metal gold smooth 38/400 HS(Pont)</t>
  </si>
  <si>
    <t>300024</t>
  </si>
  <si>
    <t>POK CLOSURE metal gold 38-400 CT, HS Berlin</t>
  </si>
  <si>
    <t>POK Closure metal gold SP 38/400 IHS Obeck</t>
  </si>
  <si>
    <t>Nadomestek 1 - Št.</t>
  </si>
  <si>
    <t>Nadomestek 1 - Opis</t>
  </si>
  <si>
    <t>Nadomestek 2 - Št.</t>
  </si>
  <si>
    <t>Nadomestek 2 - Opis</t>
  </si>
  <si>
    <t>Nadomestek 3 - Št.</t>
  </si>
  <si>
    <t>Nadomestek 3 - Opis</t>
  </si>
  <si>
    <t>Obstajajo nadomestki</t>
  </si>
  <si>
    <t>Kosovnica sestavljanja</t>
  </si>
  <si>
    <t>Knjižna skupina zaloge</t>
  </si>
  <si>
    <t>Št. proizvodnega postopka</t>
  </si>
  <si>
    <t>Osnovna merska enota</t>
  </si>
  <si>
    <t>Strošek je popravljen</t>
  </si>
  <si>
    <t>Strošek enote</t>
  </si>
  <si>
    <t>Cena enote</t>
  </si>
  <si>
    <t>Carinska tarifa</t>
  </si>
  <si>
    <t>Sistem dopolnitve zalog</t>
  </si>
  <si>
    <t>Način knjiženja porabe</t>
  </si>
  <si>
    <t>Privzeta predloga odloga</t>
  </si>
  <si>
    <t>MATERIAL</t>
  </si>
  <si>
    <t>KG</t>
  </si>
  <si>
    <t>2924190090</t>
  </si>
  <si>
    <t>Ročno</t>
  </si>
  <si>
    <t>2925290090</t>
  </si>
  <si>
    <t>2922419929</t>
  </si>
  <si>
    <t>000004</t>
  </si>
  <si>
    <t>L-Taurine  A0226 (Pharmavit)</t>
  </si>
  <si>
    <t>29239000</t>
  </si>
  <si>
    <t>0004</t>
  </si>
  <si>
    <t>000005</t>
  </si>
  <si>
    <t>Megaflora 9, Powder EVO (HSH)</t>
  </si>
  <si>
    <t>21069098</t>
  </si>
  <si>
    <t>2922498517</t>
  </si>
  <si>
    <t>2918150090</t>
  </si>
  <si>
    <t>29304010</t>
  </si>
  <si>
    <t>0007</t>
  </si>
  <si>
    <t>1302197000</t>
  </si>
  <si>
    <t>17029050</t>
  </si>
  <si>
    <t>0008</t>
  </si>
  <si>
    <t>AKRAROM LEMON FRUIT POWDER 75600142 (FRUTOL)</t>
  </si>
  <si>
    <t>0023</t>
  </si>
  <si>
    <t>2930901300</t>
  </si>
  <si>
    <t>000013</t>
  </si>
  <si>
    <t>MULTIVITAMIN PREMIX FUNCTIONAL 88001 (FRUTOL)</t>
  </si>
  <si>
    <t>29369000</t>
  </si>
  <si>
    <t>000014</t>
  </si>
  <si>
    <t>Zinc gluconate A0239 Pharmavit</t>
  </si>
  <si>
    <t>29181600</t>
  </si>
  <si>
    <t>000015</t>
  </si>
  <si>
    <t xml:space="preserve">Selenium  enriched yeast (HSH) </t>
  </si>
  <si>
    <t>21022090</t>
  </si>
  <si>
    <t>000016</t>
  </si>
  <si>
    <t>Copper citrate (HSH)</t>
  </si>
  <si>
    <t>2918160090</t>
  </si>
  <si>
    <t>000017</t>
  </si>
  <si>
    <t>ORANGE-FLAVOUR SD 221524 (FRUTOL)</t>
  </si>
  <si>
    <t>3302109000</t>
  </si>
  <si>
    <t>000018</t>
  </si>
  <si>
    <t>TANGERINE-FLAVOUR SD 01650028 (FRUTOL)</t>
  </si>
  <si>
    <t>33021090</t>
  </si>
  <si>
    <t>000019</t>
  </si>
  <si>
    <t>LEMON-FLAVOUR SD 221589 (FRUTOL)</t>
  </si>
  <si>
    <t>000020</t>
  </si>
  <si>
    <t>Inka Sweet Stevia Phí (Inka Sweet)</t>
  </si>
  <si>
    <t>2106909849</t>
  </si>
  <si>
    <t>0011</t>
  </si>
  <si>
    <t>000021</t>
  </si>
  <si>
    <t>S-AEROSIL 200F (Sensilab)</t>
  </si>
  <si>
    <t>28112200</t>
  </si>
  <si>
    <t>2922410020</t>
  </si>
  <si>
    <t>291850090</t>
  </si>
  <si>
    <t>Rose hip dry extract RM4037 (VitaActives)</t>
  </si>
  <si>
    <t>13021970 00</t>
  </si>
  <si>
    <t>0015</t>
  </si>
  <si>
    <t>21069092</t>
  </si>
  <si>
    <t>0016</t>
  </si>
  <si>
    <t>000029</t>
  </si>
  <si>
    <t>Riboflavin powder [Vitamin B2]</t>
  </si>
  <si>
    <t>28365000</t>
  </si>
  <si>
    <t>000031</t>
  </si>
  <si>
    <t>Nicotinamide [Vitamin B3]</t>
  </si>
  <si>
    <t>29362900</t>
  </si>
  <si>
    <t>29157050</t>
  </si>
  <si>
    <t>2922498590</t>
  </si>
  <si>
    <t>2940000080</t>
  </si>
  <si>
    <t>000037</t>
  </si>
  <si>
    <t>CrPIX® [Chromium picolinate] RM022-A (pazi količino)</t>
  </si>
  <si>
    <t>GR</t>
  </si>
  <si>
    <t>2819909090</t>
  </si>
  <si>
    <t>000038</t>
  </si>
  <si>
    <t>GUSTOSAL evap. jedilna sol, nejod., fina, (Salinen)</t>
  </si>
  <si>
    <t>25010091</t>
  </si>
  <si>
    <t>0075</t>
  </si>
  <si>
    <t>Calcium citrate Tetrahydrate (Vita Actives) RM018-B</t>
  </si>
  <si>
    <t>29181500</t>
  </si>
  <si>
    <t>29224985 90</t>
  </si>
  <si>
    <t>000042</t>
  </si>
  <si>
    <t>HYDROLYSED COLLAGEN BOVINE (WEISHARDT)</t>
  </si>
  <si>
    <t>35040090</t>
  </si>
  <si>
    <t>0020</t>
  </si>
  <si>
    <t>Ascorbic acid powder [Vitamin C] RM002 (V. Act.)</t>
  </si>
  <si>
    <t>2936270000</t>
  </si>
  <si>
    <t>000044</t>
  </si>
  <si>
    <t>Hyaluronic acid sodium salt [3kDa to 8kDa] RM7015</t>
  </si>
  <si>
    <t>39139000</t>
  </si>
  <si>
    <t>000046</t>
  </si>
  <si>
    <t>Aquamin Mg TG (HSH)</t>
  </si>
  <si>
    <t>2101202000</t>
  </si>
  <si>
    <t>000048</t>
  </si>
  <si>
    <t>D-Calcium pantothenate [Vitamin B5]</t>
  </si>
  <si>
    <t>29362400</t>
  </si>
  <si>
    <t>29393000 00</t>
  </si>
  <si>
    <t>000054</t>
  </si>
  <si>
    <t>Rose hip [Rosa Canina L.] fruit 20 to 1 powder extract RM455 (V.Act)</t>
  </si>
  <si>
    <t>2519901090</t>
  </si>
  <si>
    <t>17029095</t>
  </si>
  <si>
    <t>000057</t>
  </si>
  <si>
    <t>BAMBOO EXTRACT 75% (Vita Actives) RM004</t>
  </si>
  <si>
    <t>29054900</t>
  </si>
  <si>
    <t>000059</t>
  </si>
  <si>
    <t>AKRAROM ORANGE FRUIT POWDER 75600030 (FRUTOL)</t>
  </si>
  <si>
    <t>210669098</t>
  </si>
  <si>
    <t>29181400</t>
  </si>
  <si>
    <t>29183000 90</t>
  </si>
  <si>
    <t>0073</t>
  </si>
  <si>
    <t>000064</t>
  </si>
  <si>
    <t>Vitamin A Acetate 325.000 IU/g (HSH Chemie)</t>
  </si>
  <si>
    <t>2936210000</t>
  </si>
  <si>
    <t>Delovni nalog</t>
  </si>
  <si>
    <t>000066</t>
  </si>
  <si>
    <t>Vitamin D3 100 CWS (31111084)</t>
  </si>
  <si>
    <t>2936290000</t>
  </si>
  <si>
    <t>0010</t>
  </si>
  <si>
    <t>000067</t>
  </si>
  <si>
    <t>Vitamin E Acetate Powder P2218 (Cambridge)</t>
  </si>
  <si>
    <t>2936280000</t>
  </si>
  <si>
    <t>000069</t>
  </si>
  <si>
    <t>!Orthophosphoric acid</t>
  </si>
  <si>
    <t>28092000</t>
  </si>
  <si>
    <t>0067</t>
  </si>
  <si>
    <t>000070</t>
  </si>
  <si>
    <t>Omega 3 TG fish oil 18/12 1000 mg + vitamin E caps in bulk</t>
  </si>
  <si>
    <t>KOS</t>
  </si>
  <si>
    <t>0068</t>
  </si>
  <si>
    <t>29252900</t>
  </si>
  <si>
    <t>283630000</t>
  </si>
  <si>
    <t>2923900090</t>
  </si>
  <si>
    <t>000081</t>
  </si>
  <si>
    <t>Buchu [Agathosma betulina] leaf 10 to 1 powder extract (RM4784)</t>
  </si>
  <si>
    <t>29362500</t>
  </si>
  <si>
    <t>000085</t>
  </si>
  <si>
    <t xml:space="preserve">EMCOMPRESS® ANHYDROUS </t>
  </si>
  <si>
    <t>28352500</t>
  </si>
  <si>
    <t>0076</t>
  </si>
  <si>
    <t>Nazaj</t>
  </si>
  <si>
    <t>000086</t>
  </si>
  <si>
    <t>Calcium L-5-methyltetrahydrofolate (B9)</t>
  </si>
  <si>
    <t>000087</t>
  </si>
  <si>
    <t>Vitamin B12 (Cyanocobalamin)</t>
  </si>
  <si>
    <t>2936260000</t>
  </si>
  <si>
    <t>000088</t>
  </si>
  <si>
    <t>Sucralose RM1005-A (VitaActives)</t>
  </si>
  <si>
    <t>29321400 20</t>
  </si>
  <si>
    <t>AMINOFERMENT® L-Arginin HCL A0147_B (pharmavit)</t>
  </si>
  <si>
    <t>29224910</t>
  </si>
  <si>
    <t>000091</t>
  </si>
  <si>
    <t xml:space="preserve">MULTIVITAMIN PREMIX 88001 (FRUTOL) </t>
  </si>
  <si>
    <t>000092</t>
  </si>
  <si>
    <t>Green Tea leaf 40% L-Theanine RM1374 (Vita Actives)</t>
  </si>
  <si>
    <t>21012020 00</t>
  </si>
  <si>
    <t>000093</t>
  </si>
  <si>
    <t>Hop strobile dry extract</t>
  </si>
  <si>
    <t>000094</t>
  </si>
  <si>
    <t xml:space="preserve">Saffron flower extract </t>
  </si>
  <si>
    <t>000095</t>
  </si>
  <si>
    <t>VITAMIN B1 (FRUTOL)</t>
  </si>
  <si>
    <t>29362200</t>
  </si>
  <si>
    <t>000096</t>
  </si>
  <si>
    <t>Vitamin B7 (biotin) RM178 (VitaActives)</t>
  </si>
  <si>
    <t>29362700</t>
  </si>
  <si>
    <t>000100</t>
  </si>
  <si>
    <t>Omega A1425 Fish Oil EE 1000 mg 18/12 (Pharmavit)</t>
  </si>
  <si>
    <t>000101</t>
  </si>
  <si>
    <t>Zinc citrate dihydrate powder (extra pure) RM164 (VitaActives)</t>
  </si>
  <si>
    <t>29181500 90</t>
  </si>
  <si>
    <t>Magnesium Citrate Anhydrous DC A0477 (Pharmavit)</t>
  </si>
  <si>
    <t>29393000</t>
  </si>
  <si>
    <t>29241900</t>
  </si>
  <si>
    <t>000117</t>
  </si>
  <si>
    <t>Standard Fish oil softgel Omega 18-12 TG 1000mg SG0004 (SportsIngredients)</t>
  </si>
  <si>
    <t>21069092 85 7000</t>
  </si>
  <si>
    <t>0095</t>
  </si>
  <si>
    <t>000119</t>
  </si>
  <si>
    <t xml:space="preserve">Calcium ascorbate dihydrate powder RM016 (VitaActives) </t>
  </si>
  <si>
    <t>29362700 00</t>
  </si>
  <si>
    <t>000122</t>
  </si>
  <si>
    <t>Peppermint [Mentha haplocalyx briq] herb 10 to 1 powder extract RM4485 (VitaActives)</t>
  </si>
  <si>
    <t>13021970</t>
  </si>
  <si>
    <t>0066</t>
  </si>
  <si>
    <t>130120000</t>
  </si>
  <si>
    <t>000129</t>
  </si>
  <si>
    <t xml:space="preserve">CherryCraft® 9% B0330028 </t>
  </si>
  <si>
    <t>32030010</t>
  </si>
  <si>
    <t>0129</t>
  </si>
  <si>
    <t>000130</t>
  </si>
  <si>
    <t xml:space="preserve">ElderCraft 7% B0120201 </t>
  </si>
  <si>
    <t>0152</t>
  </si>
  <si>
    <t>000133</t>
  </si>
  <si>
    <t>Nutrisweet C (Fructose) 17025000</t>
  </si>
  <si>
    <t>17025000</t>
  </si>
  <si>
    <t>000134</t>
  </si>
  <si>
    <t>Nicotinamide (β-) Riboside Chloride [NRC]  (Alpine)</t>
  </si>
  <si>
    <t>000135</t>
  </si>
  <si>
    <t xml:space="preserve">Betaine anhydrous powder </t>
  </si>
  <si>
    <t>000136</t>
  </si>
  <si>
    <t>Adenosine Triphosphate Disodium Salt Powder [ATP] (Alpine)</t>
  </si>
  <si>
    <t>29349990</t>
  </si>
  <si>
    <t>000137</t>
  </si>
  <si>
    <t>SIPERNAT 22S (Evonic Industries)</t>
  </si>
  <si>
    <t>000140</t>
  </si>
  <si>
    <t>A1242_B Creatine Monohydrate (Pharmavit)</t>
  </si>
  <si>
    <t>29251900</t>
  </si>
  <si>
    <t>000142</t>
  </si>
  <si>
    <t>Omega Fish Oil 50-25 TG (1000mg) + E (5mg) Softgel inbulk</t>
  </si>
  <si>
    <t>13023900</t>
  </si>
  <si>
    <t>000144</t>
  </si>
  <si>
    <t>Inulin Instant Powder [Source: Chicory] RM1531-A</t>
  </si>
  <si>
    <t>11082000</t>
  </si>
  <si>
    <t>35079090</t>
  </si>
  <si>
    <t>000153</t>
  </si>
  <si>
    <t>HMB-Ca - Calcium β - hydroxy β - methyl butyrate monohydrate powder RM071 (VitaActives)</t>
  </si>
  <si>
    <t>291590800</t>
  </si>
  <si>
    <t>000154</t>
  </si>
  <si>
    <t>Coenzyme Q10 Ubiquinone 98% (AlpineGroup)</t>
  </si>
  <si>
    <t>29329900</t>
  </si>
  <si>
    <t>25199010</t>
  </si>
  <si>
    <t>000158</t>
  </si>
  <si>
    <t>Sodium Selenite anhydrous 0.5%  RM2034 (VitaActives)</t>
  </si>
  <si>
    <t>28429010 90</t>
  </si>
  <si>
    <t>29224985</t>
  </si>
  <si>
    <t>000168</t>
  </si>
  <si>
    <t>Zinc L-Monomethionine powder RM166-A (VitaActives)</t>
  </si>
  <si>
    <t>000169</t>
  </si>
  <si>
    <t>Zinc L-Aspartate powder RM171 (VitaActives)</t>
  </si>
  <si>
    <t>000170</t>
  </si>
  <si>
    <t>Dextrose Monohydrate 70801(PALCONutrifit)</t>
  </si>
  <si>
    <t>17023050</t>
  </si>
  <si>
    <t>0142</t>
  </si>
  <si>
    <t>000171</t>
  </si>
  <si>
    <t>Ziboxan AF80 Xhanthan gum 80 mesh 93351 (PALCONutrifit)</t>
  </si>
  <si>
    <t>000172</t>
  </si>
  <si>
    <t>A2 Gellan Gum High Acyl 99450 (PALCONutrifit)</t>
  </si>
  <si>
    <t>000173</t>
  </si>
  <si>
    <t>Citric acid mono 203002 (PALCONutrifit)</t>
  </si>
  <si>
    <t>000174</t>
  </si>
  <si>
    <t xml:space="preserve">Potassium Sorbate Powder 24634-61-5 (Pharmavit)  </t>
  </si>
  <si>
    <t>000175</t>
  </si>
  <si>
    <t>Potassium Sorbate Granular (Pharmavit)</t>
  </si>
  <si>
    <t>31049000 00</t>
  </si>
  <si>
    <t>000178</t>
  </si>
  <si>
    <t>Himalayan Pink Salt Crystalline Fine powder [30 mesh](RM2081) (VitaActives)</t>
  </si>
  <si>
    <t>000180</t>
  </si>
  <si>
    <t xml:space="preserve">VODA (VODOVODNA VODA) </t>
  </si>
  <si>
    <t>000181</t>
  </si>
  <si>
    <t>GingerPro - Ginger [Zingiber officinale] root 5% gingerols [HPLC] powder extract (RM179</t>
  </si>
  <si>
    <t>000183</t>
  </si>
  <si>
    <t>Sucralose (PalcoNutrifit)</t>
  </si>
  <si>
    <t>29321400</t>
  </si>
  <si>
    <t>000186</t>
  </si>
  <si>
    <t>Ginseng Extract 70-9 (Alpine)</t>
  </si>
  <si>
    <t>000189</t>
  </si>
  <si>
    <t>Pottasium Sorbate  E202 granule (PalcoNutrifit)</t>
  </si>
  <si>
    <t>28363000</t>
  </si>
  <si>
    <t>000194</t>
  </si>
  <si>
    <t>SODIUM Chloride (Schmidt Pharma)</t>
  </si>
  <si>
    <t>38249925</t>
  </si>
  <si>
    <t>000198</t>
  </si>
  <si>
    <t>L-Lysine Monohdrochloride (A1049) Pharmavit</t>
  </si>
  <si>
    <t>000199</t>
  </si>
  <si>
    <t>Q10-Co-Enzym (A0264) Pharmavit</t>
  </si>
  <si>
    <t>29146900</t>
  </si>
  <si>
    <t>000200</t>
  </si>
  <si>
    <t>Microcrystalline Cellulose (MCC) (A1041) Pharmavit</t>
  </si>
  <si>
    <t>39129090</t>
  </si>
  <si>
    <t>000201</t>
  </si>
  <si>
    <t>Sicilian Orange (222268)</t>
  </si>
  <si>
    <t>000202</t>
  </si>
  <si>
    <t>Sicilian Lemon (221766)</t>
  </si>
  <si>
    <t>050000</t>
  </si>
  <si>
    <t>guterrat immundoc® AMINOFLU® (premix) (2)</t>
  </si>
  <si>
    <t>POLIZDELEK</t>
  </si>
  <si>
    <t>MIXING</t>
  </si>
  <si>
    <t>050001</t>
  </si>
  <si>
    <t xml:space="preserve">guterrat immundoc® AMINOFLU® sach in bulk </t>
  </si>
  <si>
    <t>SASETIRANJE</t>
  </si>
  <si>
    <t>050002</t>
  </si>
  <si>
    <t>4ENDURANCE TRIPLE MAGNESIUM caps in bulk</t>
  </si>
  <si>
    <t>KAPSULIRANJE</t>
  </si>
  <si>
    <t>CPS</t>
  </si>
  <si>
    <t>050003</t>
  </si>
  <si>
    <t>4ENDURANCE Absolute caps in bulk</t>
  </si>
  <si>
    <t>050004</t>
  </si>
  <si>
    <t>4ENDURANCE SALT CAPS  caps in Bulk</t>
  </si>
  <si>
    <t>050005</t>
  </si>
  <si>
    <t>4ENDURANCE Magnesium Marine caps in bulk</t>
  </si>
  <si>
    <t>050006</t>
  </si>
  <si>
    <t>4ENDURANCE FUSION caps in bulk</t>
  </si>
  <si>
    <t>050007</t>
  </si>
  <si>
    <t>4ENDURANCE Magnezij direct sach in bulk</t>
  </si>
  <si>
    <t>050008</t>
  </si>
  <si>
    <t>4 ENDURANCE NITRATES+ Caps in bulk</t>
  </si>
  <si>
    <t>050009</t>
  </si>
  <si>
    <t xml:space="preserve"> 4ENDURANCE BETA ALANINE caps in bulk</t>
  </si>
  <si>
    <t>050010</t>
  </si>
  <si>
    <t>4ENDURANCE LOADED caps in bulk</t>
  </si>
  <si>
    <t>050011</t>
  </si>
  <si>
    <t>4ENDURANCE  CREATINE HCL caps in bulk</t>
  </si>
  <si>
    <t>050012</t>
  </si>
  <si>
    <t>Nduranz Sodium bicarbonate caps in bulk</t>
  </si>
  <si>
    <t>050013</t>
  </si>
  <si>
    <t>4 ENDURANCE  MELTDOWN caps in bulk</t>
  </si>
  <si>
    <t>050014</t>
  </si>
  <si>
    <t>4ENDURANCE POTASSIUM CITRATE caps in bulk</t>
  </si>
  <si>
    <t>050015</t>
  </si>
  <si>
    <t>4ENDURANCE VITAMIN C 500mg caps in bulk</t>
  </si>
  <si>
    <t>050016</t>
  </si>
  <si>
    <t>4ENDURANCE B-Complex caps in bulk</t>
  </si>
  <si>
    <t>050017</t>
  </si>
  <si>
    <t>4ENDURANCE PRO Thermo Burn 2.0 caps in bulk</t>
  </si>
  <si>
    <t>050018</t>
  </si>
  <si>
    <t>4ENDURANCE Restful caps in bulk</t>
  </si>
  <si>
    <t>050019</t>
  </si>
  <si>
    <t>4Endurance - Calcium Zinc Magnesium caps in bulk</t>
  </si>
  <si>
    <t>050020</t>
  </si>
  <si>
    <t>4Endurance PRO - L-carnitine tartrate  caps in bulk</t>
  </si>
  <si>
    <t>050021</t>
  </si>
  <si>
    <t>4ENDURANCE - VITAMIN D3 4000 IU caps in bulk</t>
  </si>
  <si>
    <t>050022</t>
  </si>
  <si>
    <t>guterrat immundoc® AMINOFLU® (premix) (3)</t>
  </si>
  <si>
    <t>050023</t>
  </si>
  <si>
    <t>guterrat immundoc® AMINOFLU®sach in bulk Edition 3-Nov.25</t>
  </si>
  <si>
    <t>050024</t>
  </si>
  <si>
    <t>4ENDURANCE Cherry Power+ sach in bulk</t>
  </si>
  <si>
    <t>050025</t>
  </si>
  <si>
    <t>4ENDURANCE ATP BOOSTER caps in bulk</t>
  </si>
  <si>
    <t>050026</t>
  </si>
  <si>
    <t>4ENDURANCE NAD+ Caps in bulk</t>
  </si>
  <si>
    <t>050027</t>
  </si>
  <si>
    <t>4ENDURANCE Q10 caps in bulk</t>
  </si>
  <si>
    <t>050028</t>
  </si>
  <si>
    <t>4ENDURANCE HMB  caps in bulk</t>
  </si>
  <si>
    <t>050029</t>
  </si>
  <si>
    <t>4ENDURANCE Alpha Boost caps in bulk</t>
  </si>
  <si>
    <t>050030</t>
  </si>
  <si>
    <t>4ENDURANCE Magnesium+ caps inbulk</t>
  </si>
  <si>
    <t>050031</t>
  </si>
  <si>
    <t>4ENDURANCE Ultra Sodium sach in bulk</t>
  </si>
  <si>
    <t>050032</t>
  </si>
  <si>
    <t>4ENDURANCE Burn+ Sach in bulk</t>
  </si>
  <si>
    <t>050033</t>
  </si>
  <si>
    <t>4 ENDURANCE  MELTDOWN caps in bulk (ver 2)</t>
  </si>
  <si>
    <t>050034</t>
  </si>
  <si>
    <t>Taurine 1000mg caps in bulk (Schmidt Pharma)</t>
  </si>
  <si>
    <t>050035</t>
  </si>
  <si>
    <t>4ENDURANCE Immuno caps in bulk</t>
  </si>
  <si>
    <t>050036</t>
  </si>
  <si>
    <t>Sodium Chloride 1000mg caps in bulk (Schmidt Pharma)</t>
  </si>
  <si>
    <t>050037</t>
  </si>
  <si>
    <t>Calcium Citrate 750 mg (A2117) caps in bulk (Schmidt Pharma)</t>
  </si>
  <si>
    <t>050038</t>
  </si>
  <si>
    <t>Co-Enzym Q10 100 mg (A2118) caps in bulk (Schmidt Pharma)</t>
  </si>
  <si>
    <t>050039</t>
  </si>
  <si>
    <t>L-Lysine HCI 500 mg (A2119) caps in bulk (Schmidt Pharma)</t>
  </si>
  <si>
    <t>060005</t>
  </si>
  <si>
    <t>Cola	220724 (FRUTOL)</t>
  </si>
  <si>
    <t>060006</t>
  </si>
  <si>
    <t>Blood Orange	222530 (FRTOL)</t>
  </si>
  <si>
    <t>060009</t>
  </si>
  <si>
    <t>Forest Fruits 222084 (FRUTOL)</t>
  </si>
  <si>
    <t>392349000</t>
  </si>
  <si>
    <t>080003</t>
  </si>
  <si>
    <t>96020000</t>
  </si>
  <si>
    <t>080004</t>
  </si>
  <si>
    <t>Cps HPMC "00el" Transparent 140mg (Pharmavit)</t>
  </si>
  <si>
    <t>Cps PRO HPMC EMBO CLEAR (A051) "1" Clear 75mg (Suheung)</t>
  </si>
  <si>
    <t>190502090</t>
  </si>
  <si>
    <t>080011</t>
  </si>
  <si>
    <t>1000CPS</t>
  </si>
  <si>
    <t>080012</t>
  </si>
  <si>
    <t>080013</t>
  </si>
  <si>
    <t>080015</t>
  </si>
  <si>
    <t>080017</t>
  </si>
  <si>
    <t>080019</t>
  </si>
  <si>
    <t>080020</t>
  </si>
  <si>
    <t>Cps HX HPMC "00" transparent 105mg (Schmidt Pharma)</t>
  </si>
  <si>
    <t>080021</t>
  </si>
  <si>
    <t>A1038 HPMC#0 98mg Capsules (Pharmavit)_new</t>
  </si>
  <si>
    <t>100000</t>
  </si>
  <si>
    <t>guterrat immundoc® AMINOFLU® x10 sach (SLO,CRO)</t>
  </si>
  <si>
    <t>IZDELKI</t>
  </si>
  <si>
    <t>KOOP-MOST</t>
  </si>
  <si>
    <t>100001</t>
  </si>
  <si>
    <t>guterrat immundoc® AMINOFLU® x10 sach</t>
  </si>
  <si>
    <t>ROČNI DN</t>
  </si>
  <si>
    <t>100002</t>
  </si>
  <si>
    <t>guterrat immundoc® AMINOFLU® x3 sach</t>
  </si>
  <si>
    <t>100003</t>
  </si>
  <si>
    <t>guterrat immundoc® AMINOFLU® x3 sach (SLO, CRO)</t>
  </si>
  <si>
    <t>100004</t>
  </si>
  <si>
    <t>4ENDURANCE TG OMEGA 60 soft gel</t>
  </si>
  <si>
    <t>100005</t>
  </si>
  <si>
    <t>4ENDURANCE Absolute 84 caps</t>
  </si>
  <si>
    <t>100006</t>
  </si>
  <si>
    <t>4ENDURANCE SALT CAPS 90 caps</t>
  </si>
  <si>
    <t>100007</t>
  </si>
  <si>
    <t>4ENDURANCE MARINE MAGNESIUM 60caps</t>
  </si>
  <si>
    <t>100008</t>
  </si>
  <si>
    <t>4ENDURANCE FUSION 90caps</t>
  </si>
  <si>
    <t>100009</t>
  </si>
  <si>
    <t>4ENDURANCE NITRATES+ 90caps</t>
  </si>
  <si>
    <t>100010</t>
  </si>
  <si>
    <t>4ENDURANCE BETA ALANINE 60caps</t>
  </si>
  <si>
    <t>100011</t>
  </si>
  <si>
    <t>4ENDURANCE LOADED 90caps</t>
  </si>
  <si>
    <t>100012</t>
  </si>
  <si>
    <t>4ENDURANCE CREATINE HCL 60 Caps</t>
  </si>
  <si>
    <t>100013</t>
  </si>
  <si>
    <t>4ENDURANCE TRIPLE MAGNESIUM   60 caps</t>
  </si>
  <si>
    <t>100014</t>
  </si>
  <si>
    <t>4ENDURANCE  MELTDOWN 84caps</t>
  </si>
  <si>
    <t>100015</t>
  </si>
  <si>
    <t>4ENDURANCE POTASSIUM CITRATE - 90 CAPS</t>
  </si>
  <si>
    <t>100016</t>
  </si>
  <si>
    <t>4ENDURANCE VITAMIN C 500mg 90 caps</t>
  </si>
  <si>
    <t>100017</t>
  </si>
  <si>
    <t>4ENDURANCE Absolute 84 caps (2)</t>
  </si>
  <si>
    <t>100018</t>
  </si>
  <si>
    <t>NDURANZ BICARB 180 caps</t>
  </si>
  <si>
    <t>100019</t>
  </si>
  <si>
    <t>Nduranz Beta Alanine 150 caps</t>
  </si>
  <si>
    <t>100020</t>
  </si>
  <si>
    <t>4ENDURANCE Magnesium direct 400 mg 30 sach</t>
  </si>
  <si>
    <t>100021</t>
  </si>
  <si>
    <t>4ENDURANCE OMEGA 3 60 Caps</t>
  </si>
  <si>
    <t>100022</t>
  </si>
  <si>
    <t>4ENDURANCE PRO Restful 60 caps</t>
  </si>
  <si>
    <t>1000022</t>
  </si>
  <si>
    <t>100023</t>
  </si>
  <si>
    <t>4ENDURANCE VITAMIN B COMPLEX 60 caps</t>
  </si>
  <si>
    <t>100024</t>
  </si>
  <si>
    <t xml:space="preserve">4ENDURANCE Calcium Zinc Magnesium 60 caps </t>
  </si>
  <si>
    <t>100025</t>
  </si>
  <si>
    <t>4ENDURANCE L-CARNITINE TARTRATE 90 Caps</t>
  </si>
  <si>
    <t>100026</t>
  </si>
  <si>
    <t>guterrat immundoc® AMINOFLU® x10 sach (SLO,CRO)_NEW</t>
  </si>
  <si>
    <t>100027</t>
  </si>
  <si>
    <t>guterrat immundoc® AMINOFLU® x3 sach (SLO,CRO)_NEW</t>
  </si>
  <si>
    <t>100028</t>
  </si>
  <si>
    <t>guterrat immundoc® AMINOFLU® x10 sach (AT)_NEW</t>
  </si>
  <si>
    <t>100029</t>
  </si>
  <si>
    <t>4ENDURANCE VITAMIN D3 4000 IU 90 Caps</t>
  </si>
  <si>
    <t>100030</t>
  </si>
  <si>
    <t>4ENDURANCE CHERRY POWER+ 5 Sach</t>
  </si>
  <si>
    <t>100031</t>
  </si>
  <si>
    <t>4ENDURANCE NAD+ 60 caps</t>
  </si>
  <si>
    <t>100032</t>
  </si>
  <si>
    <t>4ENDURANCE ATP BOOSTER 60 Caps</t>
  </si>
  <si>
    <t>100033</t>
  </si>
  <si>
    <t>guterrat immundoc® AMINOFLU® x3 sach (AT)_NEW</t>
  </si>
  <si>
    <t>100034</t>
  </si>
  <si>
    <t>100035</t>
  </si>
  <si>
    <t>4ENDURANCE Ultra Strong Omega 3 TG 60 soft gel</t>
  </si>
  <si>
    <t>100036</t>
  </si>
  <si>
    <t>4ENDURANCE Burn+ 30 sach</t>
  </si>
  <si>
    <t>100037</t>
  </si>
  <si>
    <t>4ENDURANCE Magnesium+ 90 caps</t>
  </si>
  <si>
    <t>100038</t>
  </si>
  <si>
    <t>4ENDURANCE HMB x105 caps</t>
  </si>
  <si>
    <t>100039</t>
  </si>
  <si>
    <t>4ENDURANCE Alpha Boost 126 caps</t>
  </si>
  <si>
    <t>100040</t>
  </si>
  <si>
    <t>4ENDURANCE Q10 60 caps</t>
  </si>
  <si>
    <t>100041</t>
  </si>
  <si>
    <t>4ENDURANCE Ultra Sodium+ 15 sach</t>
  </si>
  <si>
    <t>100042</t>
  </si>
  <si>
    <t>4ENDURANCE MELTDOWN 84 caps (ver 2)</t>
  </si>
  <si>
    <t>100043</t>
  </si>
  <si>
    <t>4ENDURANCE Immuno 60 caps</t>
  </si>
  <si>
    <t>110001</t>
  </si>
  <si>
    <t>Nduranz Nrgy Gel 45 (75G) X10sach COLA</t>
  </si>
  <si>
    <t>GEL SASETIRANJE</t>
  </si>
  <si>
    <t>110002</t>
  </si>
  <si>
    <t>Nduranz Nrgy Gel 45 (75G) X10sach PEACH</t>
  </si>
  <si>
    <t>110003</t>
  </si>
  <si>
    <t>Nduranz Nrgy Gel 45 (75G) X10sach Banana Caramel</t>
  </si>
  <si>
    <t>110004</t>
  </si>
  <si>
    <t>Nduranz Nrgy Gel 45 (75G) X10sach Ice Tea Lemon</t>
  </si>
  <si>
    <t>110005</t>
  </si>
  <si>
    <t>Nduranz electrolyte free Nrgy Gel 45 (75G) X10sach Blood Orange</t>
  </si>
  <si>
    <t>110006</t>
  </si>
  <si>
    <t>4ENDURANCE 2:1 GEL (71g) X10sach LEMON LIME</t>
  </si>
  <si>
    <t>110007</t>
  </si>
  <si>
    <t>Nduranz electrolyte free Nrgy Gel 45 (75G) X10sach Green Apple</t>
  </si>
  <si>
    <t>110008</t>
  </si>
  <si>
    <t>4ENDURANCE 2:1 GEL (71g) X10sach Blood Orange</t>
  </si>
  <si>
    <t>110009</t>
  </si>
  <si>
    <t>4ENDURANCE 2:1 GEL (71g) X10sach FOREST FRUITS</t>
  </si>
  <si>
    <t>110010</t>
  </si>
  <si>
    <t>300000</t>
  </si>
  <si>
    <t>ZL guterrat immundoc® AMINOFLU® x3 sach</t>
  </si>
  <si>
    <t>0013</t>
  </si>
  <si>
    <t>300001</t>
  </si>
  <si>
    <t xml:space="preserve">ZL guterrat immundoc® AMINOFLU® x10 sach </t>
  </si>
  <si>
    <t>300002</t>
  </si>
  <si>
    <t>ZL guterrat immundoc®AMINOFLU® x10 sach (SLO,CRO)</t>
  </si>
  <si>
    <t>300003</t>
  </si>
  <si>
    <t>ZL guterrat immundoc® AMINOFLU® x3 sach (SLO,HR)</t>
  </si>
  <si>
    <t>300004</t>
  </si>
  <si>
    <t>ZL 4ENDURANCE Magnesium direct 400 mg 30 sach</t>
  </si>
  <si>
    <t>300005</t>
  </si>
  <si>
    <t>VS Tablet bottle 120ml amber III 38-400 Berlin II</t>
  </si>
  <si>
    <t>70109091</t>
  </si>
  <si>
    <t>0060</t>
  </si>
  <si>
    <t>3923501000</t>
  </si>
  <si>
    <t>0071</t>
  </si>
  <si>
    <t>300007</t>
  </si>
  <si>
    <t>VS Tablet bottle 200ml amber III 45-400 (Berlin)</t>
  </si>
  <si>
    <t>300008</t>
  </si>
  <si>
    <t>VS Tablet bottle 200ml amber Obeck</t>
  </si>
  <si>
    <t>3923301000</t>
  </si>
  <si>
    <t>300009</t>
  </si>
  <si>
    <t>VS Tablet bottle 150ml amber Obeck</t>
  </si>
  <si>
    <t>300010</t>
  </si>
  <si>
    <t>VS 38I400 pill jar 150ml AMBER (PETPAK)</t>
  </si>
  <si>
    <t>39233010</t>
  </si>
  <si>
    <t>0072</t>
  </si>
  <si>
    <t>300011</t>
  </si>
  <si>
    <t>VS 38I400 pill jar 200ml AMBER (PETPAK)</t>
  </si>
  <si>
    <t>300012</t>
  </si>
  <si>
    <t>SILICA CAP 2g [DO NOT EAT] (Colorcon)</t>
  </si>
  <si>
    <t>300013</t>
  </si>
  <si>
    <t>VS Tablet bottle 350ml black Obeck</t>
  </si>
  <si>
    <t>300014</t>
  </si>
  <si>
    <t>POK Closure black, smooth SP 45/400 IHS Obeck</t>
  </si>
  <si>
    <t>300015</t>
  </si>
  <si>
    <t>ZL guterrat immundoc® AMINOFLU® x10 sach (AT)_NEW</t>
  </si>
  <si>
    <t>300016</t>
  </si>
  <si>
    <t xml:space="preserve">SGS 4ENDURANCE PRO - VITAMIN D3 4000IU </t>
  </si>
  <si>
    <t>300017</t>
  </si>
  <si>
    <t>ZL guterrat immundoc®AMINOFLU® x10 sach (SLO,CRO)(2)</t>
  </si>
  <si>
    <t>0084</t>
  </si>
  <si>
    <t>300018</t>
  </si>
  <si>
    <t>ZL guterrat immundoc® AMINOFLU® x3 sach (SLO,HR)(2)</t>
  </si>
  <si>
    <t>8309909090</t>
  </si>
  <si>
    <t>300022</t>
  </si>
  <si>
    <t>300023</t>
  </si>
  <si>
    <t>ZL 4ENDURANCE Cherry Power+ 5sach</t>
  </si>
  <si>
    <t>3923509000</t>
  </si>
  <si>
    <t>300025</t>
  </si>
  <si>
    <t>ZL guterrat immundoc® AMINOFLU® x3 sach (AT)_NEW</t>
  </si>
  <si>
    <t>300026</t>
  </si>
  <si>
    <t>300027</t>
  </si>
  <si>
    <t>ZL 4ENDURANCE Burn+ 30 sach</t>
  </si>
  <si>
    <t>300029</t>
  </si>
  <si>
    <t>ZL 4ENDURANCE Ultra Sodium 15 sach</t>
  </si>
  <si>
    <t>300030</t>
  </si>
  <si>
    <t>300031</t>
  </si>
  <si>
    <t>300032</t>
  </si>
  <si>
    <t>300033</t>
  </si>
  <si>
    <t>POK Closure metal gold SP 45/400 IHS Obeck</t>
  </si>
  <si>
    <t>39 23 10 90</t>
  </si>
  <si>
    <t>300034</t>
  </si>
  <si>
    <t>VS Tablet bottle 300ml amber Obeck</t>
  </si>
  <si>
    <t>39 23 30 10</t>
  </si>
  <si>
    <t>300035</t>
  </si>
  <si>
    <t>300038</t>
  </si>
  <si>
    <t>ZL NDURANZ NRGY GEL 45 (75G) X10SACH COLA</t>
  </si>
  <si>
    <t>300039</t>
  </si>
  <si>
    <t>ZL NDURANZ NRGY GEL 45 (75G) X10SACH PEACH</t>
  </si>
  <si>
    <t>300040</t>
  </si>
  <si>
    <t>ZL NDURANZ NRGY GEL 45 (75G) X10SACH BANANA CARAMEL</t>
  </si>
  <si>
    <t>300041</t>
  </si>
  <si>
    <t>ZL NDURANZ NRGY GEL 45 (75G) X10SACH ICE TEA LEMON</t>
  </si>
  <si>
    <t>300042</t>
  </si>
  <si>
    <t>ZL NDURANZ ELECTROLYTE FREE NRGY GEL 45 (75G) X10SACH BLOOD ORANGE</t>
  </si>
  <si>
    <t>300043</t>
  </si>
  <si>
    <t>ZL NDURANZ ELECTROLYTE FREE NRGY GEL 45 (75G) X10SACH GREEN APPLE</t>
  </si>
  <si>
    <t>300044</t>
  </si>
  <si>
    <t>ZL 4ENDURANCE 2:1 GEL (71g) X10SACH LEMON LIME</t>
  </si>
  <si>
    <t>300045</t>
  </si>
  <si>
    <t>ZL 4ENDURANCE 2:1 GEL (71g) X10SACH BLOOD ORANGE</t>
  </si>
  <si>
    <t>300046</t>
  </si>
  <si>
    <t>ZL 4ENDURANCE 2:1 GEL (71g) X10SACH FOREST FRUITS</t>
  </si>
  <si>
    <t>300047</t>
  </si>
  <si>
    <t>ZL NDURANZ NRGY GEL 45 (75G) X10SACH LIME</t>
  </si>
  <si>
    <t>0101</t>
  </si>
  <si>
    <t>300048</t>
  </si>
  <si>
    <t>ZL NDURANZ NRGY GEL 45 (75G) X10SACH SICILIAN LEMON</t>
  </si>
  <si>
    <t>300049</t>
  </si>
  <si>
    <t>ZL NDURANZ NRGY GEL 45 (75G) X10SACH SICILIAN ORANGE</t>
  </si>
  <si>
    <t>35000</t>
  </si>
  <si>
    <t>350000</t>
  </si>
  <si>
    <t>FOL guterrat immundoc® AMINOFLU®x1 sach (110x100)2</t>
  </si>
  <si>
    <t>0009</t>
  </si>
  <si>
    <t>350001</t>
  </si>
  <si>
    <t>FOL 4ENDURANCE 63X95mm</t>
  </si>
  <si>
    <t>350002</t>
  </si>
  <si>
    <t>FOL 4ENDURANCE CHERRY POWER+ 5 Sach (63x128)</t>
  </si>
  <si>
    <t>350003</t>
  </si>
  <si>
    <t>FOL 4ENDURANCE 63X128mm</t>
  </si>
  <si>
    <t>350004</t>
  </si>
  <si>
    <t>FOL 4ENDURANCE UNIVERSAL 1sach 169x120mm</t>
  </si>
  <si>
    <t>350005</t>
  </si>
  <si>
    <t>FOL NDURANZ UNIVERSAL 1 sach 169x120mm</t>
  </si>
  <si>
    <t>370000</t>
  </si>
  <si>
    <t>TK rjav (DS Smith) (25x28x39cm)</t>
  </si>
  <si>
    <t>0014</t>
  </si>
  <si>
    <t>370001</t>
  </si>
  <si>
    <t xml:space="preserve">TK (Eurobox) 280X90X135 </t>
  </si>
  <si>
    <t>370002</t>
  </si>
  <si>
    <t>TK 4ENDURANCE UNIVERSAL  10XGEL  170X49X158</t>
  </si>
  <si>
    <t>370003</t>
  </si>
  <si>
    <t>TK NDURANZ UNIVERSAL 10xGEL (170X49X168)</t>
  </si>
  <si>
    <t>380000</t>
  </si>
  <si>
    <t>SGS 4ENDURANCE TRIPLE MAGNESIUM   60 caps 155x67</t>
  </si>
  <si>
    <t>0069</t>
  </si>
  <si>
    <t>380001</t>
  </si>
  <si>
    <t>SGS 4ENDURANCE TG OMEGA 60 155x67</t>
  </si>
  <si>
    <t>380002</t>
  </si>
  <si>
    <t>SGS 4ENDURANCE NITRATES+ 90cap 175x70</t>
  </si>
  <si>
    <t>380003</t>
  </si>
  <si>
    <t>SGS 4ENDURANCE Absolute 84caps 175x70</t>
  </si>
  <si>
    <t>380004</t>
  </si>
  <si>
    <t>SGS 4ENDURANCE SALT CAPS 90caps 175x70</t>
  </si>
  <si>
    <t>380005</t>
  </si>
  <si>
    <t>SGS 4ENDURANCE Magnesium Marine 60caps 155x67</t>
  </si>
  <si>
    <t>380006</t>
  </si>
  <si>
    <t>SGS 4ENDURANCE FUSION 90caps 155x67</t>
  </si>
  <si>
    <t>380007</t>
  </si>
  <si>
    <t>SGS 4ENDURANCE BETA ALANINE 60caps</t>
  </si>
  <si>
    <t>380008</t>
  </si>
  <si>
    <t>SGS 4ENDURANCE LOADED 90caps</t>
  </si>
  <si>
    <t>380009</t>
  </si>
  <si>
    <t>SGS 4ENDURANCE  CREATINE HCL 60caps 155x67</t>
  </si>
  <si>
    <t>380010</t>
  </si>
  <si>
    <t>SGS Nduranz BICARB 180 caps</t>
  </si>
  <si>
    <t>380011</t>
  </si>
  <si>
    <t>SGS Nduranz Beta Alanine 150 caps</t>
  </si>
  <si>
    <t>380012</t>
  </si>
  <si>
    <t>SGS 4ENDURANCE  MELTDOWN 84caps</t>
  </si>
  <si>
    <t>380013</t>
  </si>
  <si>
    <t xml:space="preserve">SGS 4ENDURANCE VITAMIN C  90 Caps </t>
  </si>
  <si>
    <t>380014</t>
  </si>
  <si>
    <t>SGS 4ENDURANCE Potassium 90 caps</t>
  </si>
  <si>
    <t>380015</t>
  </si>
  <si>
    <t>SGS 4ENDURANCE B-Complex 60caps</t>
  </si>
  <si>
    <t>380016</t>
  </si>
  <si>
    <t>SGS 4ENDURANCE PRO Restful 60 caps</t>
  </si>
  <si>
    <t>380017</t>
  </si>
  <si>
    <t>SGS 4ENDURANCE PRO Thermo Burn 2.0 90 caps</t>
  </si>
  <si>
    <t>380018</t>
  </si>
  <si>
    <t xml:space="preserve">SGS 4ENDURANCE Absolute 84caps (2) 175x70 </t>
  </si>
  <si>
    <t>380019</t>
  </si>
  <si>
    <t>SGS 4ENDURANCE PRO OMEGA 60 155x67</t>
  </si>
  <si>
    <t>380020</t>
  </si>
  <si>
    <t>SGS 4ENDURANCE Beta alanine 60 capsules 155x67</t>
  </si>
  <si>
    <t>380021</t>
  </si>
  <si>
    <t>SGS 4ENDURANCE Magnesium Marine 60caps 155x67(2)</t>
  </si>
  <si>
    <t>380022</t>
  </si>
  <si>
    <t>SGS 4 ENDURANCE TG OMEGA 60 155x67(2)</t>
  </si>
  <si>
    <t>380023</t>
  </si>
  <si>
    <t>SGS 4Endurance PRO Calcium Zinc Magnesium 60 caps 155x67</t>
  </si>
  <si>
    <t>380024</t>
  </si>
  <si>
    <t>SGS 4ENDURANCE Potassium 90 caps (2)</t>
  </si>
  <si>
    <t>380025</t>
  </si>
  <si>
    <t>SGS 4ENDURANCE PRO - L-carnitine tartrate</t>
  </si>
  <si>
    <t>380026</t>
  </si>
  <si>
    <t>380028</t>
  </si>
  <si>
    <t>SGS 4ENDURANCE NAD+ 60 CAPS</t>
  </si>
  <si>
    <t>380029</t>
  </si>
  <si>
    <t>SGS 4ENDURANCE ATP BOOSTER 60 Caps</t>
  </si>
  <si>
    <t>380030</t>
  </si>
  <si>
    <t>SGS 4ENDURANCE Ultra Strong Omega 3 TG 60 soft gel</t>
  </si>
  <si>
    <t>380031</t>
  </si>
  <si>
    <t>SGS 4ENDURANCE Magnesium+ 90 cps</t>
  </si>
  <si>
    <t>380032</t>
  </si>
  <si>
    <t>SGS 4ENDURANCE HMB 90 caps</t>
  </si>
  <si>
    <t>380033</t>
  </si>
  <si>
    <t>SGS 4ENDURANCE Q10 60 caps</t>
  </si>
  <si>
    <t>380034</t>
  </si>
  <si>
    <t>SGS 4ENDURANCE Alpha Boost 126 caps</t>
  </si>
  <si>
    <t>380035</t>
  </si>
  <si>
    <t>SGS 4ENDURANCE TRIPLE MAGNESIUM (2) 60 caps 155x67</t>
  </si>
  <si>
    <t>380036</t>
  </si>
  <si>
    <t>SGS 4ENDURANCE B-Complex 60caps (2)</t>
  </si>
  <si>
    <t>380037</t>
  </si>
  <si>
    <t xml:space="preserve">SGS 4ENDURANCE Absolute 84caps (3) 175x70 </t>
  </si>
  <si>
    <t>380038</t>
  </si>
  <si>
    <t>SGS 4ENDURANCE MELTDOWN 84caps (ver 2)</t>
  </si>
  <si>
    <t>380039</t>
  </si>
  <si>
    <t>SGS 4ENDURANCE FUSION 90 CAPS (2) 155 x 67</t>
  </si>
  <si>
    <t>380040</t>
  </si>
  <si>
    <t xml:space="preserve">SGS 4ENDURANCE VITAMIN D3 4000IU (3) 90 Caps 155 x 67 </t>
  </si>
  <si>
    <t>380041</t>
  </si>
  <si>
    <t xml:space="preserve">SGS 4ENDURANCE HMB105 Caps 175 x 70 </t>
  </si>
  <si>
    <t>380042</t>
  </si>
  <si>
    <t xml:space="preserve">SGS 4ENDURANCE CALCIUM ZINC MAGNESIUM 60 Caps 155 x 67 </t>
  </si>
  <si>
    <t>380043</t>
  </si>
  <si>
    <t>SGS NDURANZ BICARB 180 CAPS 210 x 74</t>
  </si>
  <si>
    <t>380044</t>
  </si>
  <si>
    <t>SGS 4ENDURANCE OMEGA 3 60 Caps 155 X 67</t>
  </si>
  <si>
    <t>380045</t>
  </si>
  <si>
    <t xml:space="preserve">SGS 4ENDURANCE POTASSIUM CITRATE 90 Caps 175 x 70 </t>
  </si>
  <si>
    <t>380046</t>
  </si>
  <si>
    <t xml:space="preserve">SGS 4ENDURANCE SALT CAPS 90 Caps 175 x 70 </t>
  </si>
  <si>
    <t>380047</t>
  </si>
  <si>
    <t xml:space="preserve">SGS 4ENDURANCE MARINE MAGNESIUM 60 CAPS 155 x 67 </t>
  </si>
  <si>
    <t>380048</t>
  </si>
  <si>
    <t xml:space="preserve">SGS 4ENDURANCE BETA ALANINE 60 Caps155 x 67 </t>
  </si>
  <si>
    <t>380049</t>
  </si>
  <si>
    <t xml:space="preserve">SGS 4ENDURANCE NITRATES+  90 CAPS 175 x 70 </t>
  </si>
  <si>
    <t>380050</t>
  </si>
  <si>
    <t xml:space="preserve">SGS 4ENDURANCE CREATINE HCL (2) 60 CAPS 155 x 67 </t>
  </si>
  <si>
    <t>380052</t>
  </si>
  <si>
    <t xml:space="preserve">SGS 4ENDURANCE Absolute 84caps (4) 175x70 </t>
  </si>
  <si>
    <t>380053</t>
  </si>
  <si>
    <t xml:space="preserve">SGS 4ENDURANCE HMB (2) - 105 CAPS 175 x 70 </t>
  </si>
  <si>
    <t>380054</t>
  </si>
  <si>
    <t>SGS 4ENDURANCE ATP BOOSTER (2) 60 Caps</t>
  </si>
  <si>
    <t>380055</t>
  </si>
  <si>
    <t>SGS 4ENDURANCE FUSION 90 CAPS (3) 155 x 67</t>
  </si>
  <si>
    <t>380056</t>
  </si>
  <si>
    <t>SGS 4ENDURANCE BETA ALANINE (2) 60 CAPSULES 155x67</t>
  </si>
  <si>
    <t>380057</t>
  </si>
  <si>
    <t xml:space="preserve">SGS 4ENDURANCE L-CARNITINE TARTRATE (2) - 90 CAPS 175 x 70 </t>
  </si>
  <si>
    <t>380058</t>
  </si>
  <si>
    <t xml:space="preserve">SGS 4ENDURANCE NAD+ - 60 CAPS 155 x 67 </t>
  </si>
  <si>
    <t>380059</t>
  </si>
  <si>
    <t>SGS 4ENDURANCE Immuno 60 caps</t>
  </si>
  <si>
    <t>Nadomestek 1 - Zaloga</t>
  </si>
  <si>
    <t>Nadomestek 2 - Zaloga</t>
  </si>
  <si>
    <t>Nadomestek 3 - Zaloga</t>
  </si>
  <si>
    <t>Količina za nabavo</t>
  </si>
  <si>
    <t>Nadomestek 3 - Nab. cena</t>
  </si>
  <si>
    <t>Nadomestek 2 - Nab. cena</t>
  </si>
  <si>
    <t>Nadomestek 1 - Nab. cena</t>
  </si>
  <si>
    <t>Nab. 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</si>
</sst>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###"/>
    <numFmt numFmtId="165" formatCode="000000"/>
    <numFmt numFmtId="166" formatCode="#,##0.00###"/>
  </numFmts>
  <fonts count="4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4" borderId="0" xfId="0" applyFill="1"/>
    <xf numFmtId="0" fontId="2" fillId="3" borderId="0" xfId="0" applyFont="1" applyFill="1" applyAlignment="1">
      <alignment wrapText="1"/>
    </xf>
    <xf numFmtId="2" fontId="2" fillId="3" borderId="0" xfId="0" applyNumberFormat="1" applyFont="1" applyFill="1" applyAlignment="1">
      <alignment wrapText="1"/>
    </xf>
    <xf numFmtId="0" fontId="2" fillId="4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avadno" xfId="0" builtinId="0"/>
  </cellStyles>
  <dxfs count="17">
    <dxf>
      <numFmt numFmtId="0" formatCode="General"/>
    </dxf>
    <dxf>
      <numFmt numFmtId="2" formatCode="0.00"/>
    </dxf>
    <dxf>
      <numFmt numFmtId="165" formatCode="000000"/>
    </dxf>
    <dxf>
      <numFmt numFmtId="165" formatCode="000000"/>
    </dxf>
    <dxf>
      <numFmt numFmtId="0" formatCode="General"/>
    </dxf>
    <dxf>
      <numFmt numFmtId="2" formatCode="0.00"/>
    </dxf>
    <dxf>
      <numFmt numFmtId="165" formatCode="000000"/>
    </dxf>
    <dxf>
      <numFmt numFmtId="165" formatCode="000000"/>
    </dxf>
    <dxf>
      <numFmt numFmtId="0" formatCode="General"/>
    </dxf>
    <dxf>
      <numFmt numFmtId="2" formatCode="0.00"/>
    </dxf>
    <dxf>
      <numFmt numFmtId="165" formatCode="000000"/>
    </dxf>
    <dxf>
      <numFmt numFmtId="165" formatCode="000000"/>
    </dxf>
    <dxf>
      <fill>
        <patternFill patternType="solid">
          <fgColor indexed="64"/>
          <bgColor rgb="FFFFC000"/>
        </patternFill>
      </fill>
    </dxf>
    <dxf>
      <numFmt numFmtId="0" formatCode="General"/>
    </dxf>
    <dxf>
      <numFmt numFmtId="2" formatCode="0.00"/>
    </dxf>
    <dxf>
      <numFmt numFmtId="165" formatCode="00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4472C4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nez Privat" id="{476E3B3C-BD4C-4CEB-A786-69C183065384}" userId="fe36ec4eb5f81ce6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ez" refreshedDate="46135.83854675926" createdVersion="8" refreshedVersion="8" minRefreshableVersion="3" recordCount="95" xr:uid="{8712AE7A-EA7D-44DB-A213-9550F3217AE2}">
  <cacheSource type="worksheet">
    <worksheetSource name="Table1"/>
  </cacheSource>
  <cacheFields count="18">
    <cacheField name="Ime" numFmtId="49">
      <sharedItems/>
    </cacheField>
    <cacheField name="Opozorilo" numFmtId="49">
      <sharedItems/>
    </cacheField>
    <cacheField name="Št." numFmtId="49">
      <sharedItems count="77">
        <s v="000002"/>
        <s v="000024"/>
        <s v="000025"/>
        <s v="000030"/>
        <s v="000032"/>
        <s v="000034"/>
        <s v="000035"/>
        <s v="000036"/>
        <s v="000047"/>
        <s v="000049"/>
        <s v="000051"/>
        <s v="000053"/>
        <s v="000055"/>
        <s v="000056"/>
        <s v="000060"/>
        <s v="000061"/>
        <s v="000063"/>
        <s v="000068"/>
        <s v="000071"/>
        <s v="000072"/>
        <s v="000073"/>
        <s v="000074"/>
        <s v="000076"/>
        <s v="000077"/>
        <s v="000078"/>
        <s v="000079"/>
        <s v="000080"/>
        <s v="000082"/>
        <s v="000083"/>
        <s v="000084"/>
        <s v="000104"/>
        <s v="000105"/>
        <s v="000116"/>
        <s v="000127"/>
        <s v="000131"/>
        <s v="000138"/>
        <s v="000139"/>
        <s v="000143"/>
        <s v="000145"/>
        <s v="000146"/>
        <s v="000147"/>
        <s v="000148"/>
        <s v="000149"/>
        <s v="000150"/>
        <s v="000151"/>
        <s v="000152"/>
        <s v="000155"/>
        <s v="000156"/>
        <s v="000157"/>
        <s v="000159"/>
        <s v="000160"/>
        <s v="000161"/>
        <s v="000162"/>
        <s v="000163"/>
        <s v="000164"/>
        <s v="000165"/>
        <s v="000167"/>
        <s v="000179"/>
        <s v="000182"/>
        <s v="000184"/>
        <s v="000188"/>
        <s v="000190"/>
        <s v="000191"/>
        <s v="000192"/>
        <s v="000193"/>
        <s v="000195"/>
        <s v="060000"/>
        <s v="060001"/>
        <s v="060002"/>
        <s v="060003"/>
        <s v="060004"/>
        <s v="060007"/>
        <s v="060008"/>
        <s v="060010"/>
        <s v="080014"/>
        <s v="080016"/>
        <s v="080018"/>
      </sharedItems>
    </cacheField>
    <cacheField name="Sporočilo o dejanju" numFmtId="49">
      <sharedItems/>
    </cacheField>
    <cacheField name="Sprejmi sporočilo o dejanju" numFmtId="1">
      <sharedItems/>
    </cacheField>
    <cacheField name="Prvotni datum zapadlosti" numFmtId="14">
      <sharedItems containsNonDate="0" containsString="0" containsBlank="1"/>
    </cacheField>
    <cacheField name="Datum naloga" numFmtId="14">
      <sharedItems containsSemiMixedTypes="0" containsNonDate="0" containsDate="1" containsString="0" minDate="2026-01-30T00:00:00" maxDate="2026-12-29T00:00:00"/>
    </cacheField>
    <cacheField name="Datum zapadlosti" numFmtId="14">
      <sharedItems containsSemiMixedTypes="0" containsNonDate="0" containsDate="1" containsString="0" minDate="2026-03-01T00:00:00" maxDate="2026-12-30T00:00:00"/>
    </cacheField>
    <cacheField name="Končni datum" numFmtId="14">
      <sharedItems containsSemiMixedTypes="0" containsNonDate="0" containsDate="1" containsString="0" minDate="2026-03-01T00:00:00" maxDate="2026-12-30T00:00:00"/>
    </cacheField>
    <cacheField name="Opis" numFmtId="49">
      <sharedItems count="77">
        <s v="L-Arginine hydrochloride [vegan] RM079-A (Vita Actives)"/>
        <s v="Magnesium Citrate Tribasic anhydrous RM450 (Vita Actives) RM450"/>
        <s v="B-Complex Capsule Premix PRM101 (VitaActives)"/>
        <s v="Magnesium Carbonate Heavy Powder (Vita Actives)RM1372-A"/>
        <s v="Magnesium Stearate [Vegetable] (Vita Actives)RM465"/>
        <s v="D-RIBOSE (Vita Actives) RM056"/>
        <s v="RHODIOLA DE 3% ROSAVINS 1% SALIDROSIDE (Vita Actives) RM461"/>
        <s v="KSM-66® [Ashwagandha extract] RM1236"/>
        <s v="TeaXcel® E40 - Green tea leaf 95% polyphenols RM303"/>
        <s v="CAYENNE PEPER 10:1 (Vita Actives) RM4766"/>
        <s v="Grape Seed Extract GSE (Vita Actives) RM4160 "/>
        <s v="Caffeine Anhydrous powder (Vita Actives) RM017"/>
        <s v="Magnesium Oxide DC Granular RM118B  (Vita Actives)"/>
        <s v="Isomaltulose Powder RM1501 (Vita Actives)"/>
        <s v="Citric Acid Anhydrous (Pharmavit)"/>
        <s v="Calcium pyruvate  powder RM730 (VitaActives)"/>
        <s v="GINSENG EXTRACT 80% RM 713 (VitaActives)"/>
        <s v="00123  Cordyceps 7% Cordiceptic Acid extract powder (Alpine Nutrition)"/>
        <s v="Creatine HCL  hydrochloride RM 032  (VitaActives)"/>
        <s v="Beta Vulgaris extract 10:1 (Vita Actives) RM4790"/>
        <s v="Red spinach extract (9% Nitrate conc.) (Vita Actives) RM4560"/>
        <s v="Arugula extract 10:1 (Vita Actives) RM4783"/>
        <s v="L-Carnitin-L-Tartrate (Pharmavit) A0531"/>
        <s v="A1399 N-Acetyl-L-Carnitin (Pharmavit) _x0009_A1399"/>
        <s v="Bearberry [Arctostaphylos uva-ursi] leaf 20% Arbutin [HPLC] powder extract (RM4422)"/>
        <s v="Dandelion [Taraxacum officinale] root 2% Flavones [UV] powder extract (5 to 1) (RM1378)"/>
        <s v="Parsley [Petroselinum crispum] herb 10 to 1 powder extract (RM4626)"/>
        <s v="Artichoke [Cynara scolymus L] leaf 5% Cynarin [UV] powder extract (RM1293)"/>
        <s v="Pyridoxine hydrochloride powder [Vitamin B6] RM135 (VitaActives)"/>
        <s v="TriPotassium Citrate anhydrous powder RM2042 (VitaActives)"/>
        <s v="Magnesium citrate buffered [30% Mg] powder RM2006 (VitaActives)"/>
        <s v="A1306_B AMINOFERMENT® Beta Alanin (Pharmavit)"/>
        <s v="Senactiv (HSH)"/>
        <s v="Cholecalciferol [100,000 IU per g [0.25% D3]] powder RM159-B (VitaActives) - Vitamin D3 "/>
        <s v="L-ORNITHINE HCL - O1063201 (AlpineGroup)"/>
        <s v="Fructo-oligosaccharides [FOS] Powder [Low aw] [Source: Sugarcane] (RM1525-A) VitaActives"/>
        <s v="Art. 849FRF – exGrape™ SEED OPCFR Grape Seed Extract (Breko)"/>
        <s v="Glucomannan 95% [Ex- Amorphophallus konjac] RM1285 (VitaActives)"/>
        <s v="L-Tyrosine powder [Vegan] RM563 (VitaActives)"/>
        <s v="L-Carnitine L-Tartrate powder [60 mesh] RM082-A (VitaActives)"/>
        <s v="Choline (L+) Bitartrate Powder [Conditioned with 1% Silica] RM567-A"/>
        <s v="Coleus [Coleus forskohlii] root 4 t 1 powder extract RM4761 (VitaActives)"/>
        <s v="African mango [Irvingia gabonensis] seed 10 to 1 powder extract RM786 (VitaActives)"/>
        <s v="Parsley [Petroselinum crispum] herb 10 to 1 powder extract RM4626 (VitaActives)"/>
        <s v="Bromelain 2500 GDU/g [Ex-Ananas comosus L.] powder RM7005-A (VitaActives)"/>
        <s v="Actamide - Black pepper [Piper nigrum] fruit 95% piperine powder extract RM012-A (VitaActives)"/>
        <s v="Fenugreek Extract (AlpineGroup)"/>
        <s v="Magnesium Stearate (Vegetable) (MOSSELMAN)"/>
        <s v="Ashwaganda Extact (7% withanolides)  (AlpineGroup)"/>
        <s v="Black Maca [Lepidium meyenii Walp.] RM4336 (VitaActives) "/>
        <s v="Suma [Pfaffia Paniculata] root 10 to 1 powder extract RM5201 (VitaActives)"/>
        <s v="D-Aspartic acid powder RM048 (VitaActives)"/>
        <s v="Boron bisglycinate [3.5% B] powder RM2005 (VitaActives)"/>
        <s v="Red Ginseng Extract (10% ginsenosides) (AlpineGroup)"/>
        <s v="Shilajit Extract (AlpineGroup)"/>
        <s v="Tribulus Terrestris Extract (90% saponins)  (AlpineGorup)"/>
        <s v="Magnesium L-Aspartate powder VA RM2056 (VitaActives)"/>
        <s v="Cordyceps Sinensis Extract 34-19 (Alpine)"/>
        <s v="LIME POWDER FLAVOUR SD NATURAL 221620 (Frutol)"/>
        <s v="ARTICHOKE EXTRACT 2-5% CYNARINE 88170 (Frutol)"/>
        <s v="DANDELION ROOT 10-1 DRY EXTRACT (Alpine)"/>
        <s v="Spirulina Powder 26-4 (Alpine)"/>
        <s v="Japanese sophora extract-Quercetin 68-19 (Alpine)"/>
        <s v="Black Elderberry Extract 69-19 (Alpine)"/>
        <s v="SODIUM BICARBONATE WITHOUT ACA (Palconutrifit)"/>
        <s v="Calcium Citrat (Schmidt Pharma)"/>
        <s v="Black tea 222568 (FRUTOL)"/>
        <s v="Lemon 220001 (FRUTOL)"/>
        <s v="Banana (221545 (FRUTOL)"/>
        <s v="Caramel 221503 (FRUTOL)"/>
        <s v="Peach 221549 (FRUTOL)"/>
        <s v="Green Apple 222072 (FRTOL)"/>
        <s v="Lemon Lime 222180 (FRUTOL)"/>
        <s v="Apricot flavour 222074 (FRUTOL)"/>
        <s v="Cps HX HPMC &quot;00&quot; transparent 105mg (ACG)"/>
        <s v="A1529 HPMC#0 98mg Capsules (Pharmavit)_new"/>
        <s v="A1528 HPMC#00 124mg Capsules (Pharmavit)_new"/>
      </sharedItems>
    </cacheField>
    <cacheField name="Št. proizvodne kosovnice" numFmtId="49">
      <sharedItems/>
    </cacheField>
    <cacheField name="Prvotna količina" numFmtId="164">
      <sharedItems containsSemiMixedTypes="0" containsString="0" containsNumber="1" containsInteger="1" minValue="0" maxValue="0"/>
    </cacheField>
    <cacheField name="Nalog MPS" numFmtId="1">
      <sharedItems/>
    </cacheField>
    <cacheField name="Količina" numFmtId="164">
      <sharedItems containsSemiMixedTypes="0" containsString="0" containsNumber="1" containsInteger="1" minValue="10" maxValue="3150000"/>
    </cacheField>
    <cacheField name="Vrsta referenčnega naloga" numFmtId="49">
      <sharedItems/>
    </cacheField>
    <cacheField name="Št. dobavitelja" numFmtId="49">
      <sharedItems/>
    </cacheField>
    <cacheField name="ItemDescription" numFmtId="49">
      <sharedItems/>
    </cacheField>
    <cacheField name="Opis proizvodnega postopka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JANEZ-MRP"/>
    <s v=" "/>
    <x v="0"/>
    <s v="Novo"/>
    <b v="0"/>
    <m/>
    <d v="2026-10-27T00:00:00"/>
    <d v="2026-11-26T00:00:00"/>
    <d v="2026-11-26T00:00:00"/>
    <x v="0"/>
    <s v=""/>
    <n v="0"/>
    <b v="0"/>
    <n v="525"/>
    <s v="Nabava"/>
    <s v="0002"/>
    <s v="L-Arginine hydrochloride [vegan] RM079-A (Vita Actives)"/>
    <s v=""/>
  </r>
  <r>
    <s v="JANEZ-MRP"/>
    <s v="Attention"/>
    <x v="1"/>
    <s v="Novo"/>
    <b v="0"/>
    <m/>
    <d v="2026-04-04T00:00:00"/>
    <d v="2026-05-04T00:00:00"/>
    <d v="2026-05-04T00:00:00"/>
    <x v="1"/>
    <s v=""/>
    <n v="0"/>
    <b v="0"/>
    <n v="100"/>
    <s v="Nabava"/>
    <s v="0002"/>
    <s v="Magnesium Citrate Tribasic anhydrous RM450 (Vita Actives) RM450"/>
    <s v=""/>
  </r>
  <r>
    <s v="JANEZ-MRP"/>
    <s v=" "/>
    <x v="1"/>
    <s v="Novo"/>
    <b v="1"/>
    <m/>
    <d v="2026-10-12T00:00:00"/>
    <d v="2026-11-11T00:00:00"/>
    <d v="2026-11-11T00:00:00"/>
    <x v="1"/>
    <s v=""/>
    <n v="0"/>
    <b v="0"/>
    <n v="100"/>
    <s v="Nabava"/>
    <s v="0002"/>
    <s v="Magnesium Citrate Tribasic anhydrous RM450 (Vita Actives) RM450"/>
    <s v=""/>
  </r>
  <r>
    <s v="JANEZ-MRP"/>
    <s v=" "/>
    <x v="1"/>
    <s v="Novo"/>
    <b v="1"/>
    <m/>
    <d v="2026-10-12T00:00:00"/>
    <d v="2026-11-11T00:00:00"/>
    <d v="2026-11-11T00:00:00"/>
    <x v="1"/>
    <s v=""/>
    <n v="0"/>
    <b v="0"/>
    <n v="100"/>
    <s v="Nabava"/>
    <s v="0002"/>
    <s v="Magnesium Citrate Tribasic anhydrous RM450 (Vita Actives) RM450"/>
    <s v=""/>
  </r>
  <r>
    <s v="JANEZ-MRP"/>
    <s v=" "/>
    <x v="1"/>
    <s v="Novo"/>
    <b v="1"/>
    <m/>
    <d v="2026-10-12T00:00:00"/>
    <d v="2026-11-11T00:00:00"/>
    <d v="2026-11-11T00:00:00"/>
    <x v="1"/>
    <s v=""/>
    <n v="0"/>
    <b v="0"/>
    <n v="100"/>
    <s v="Nabava"/>
    <s v="0002"/>
    <s v="Magnesium Citrate Tribasic anhydrous RM450 (Vita Actives) RM450"/>
    <s v=""/>
  </r>
  <r>
    <s v="JANEZ-MRP"/>
    <s v=" "/>
    <x v="2"/>
    <s v="Novo"/>
    <b v="1"/>
    <m/>
    <d v="2026-04-28T00:00:00"/>
    <d v="2026-05-28T00:00:00"/>
    <d v="2026-05-28T00:00:00"/>
    <x v="2"/>
    <s v=""/>
    <n v="0"/>
    <b v="0"/>
    <n v="40"/>
    <s v="Nabava"/>
    <s v="0002"/>
    <s v="B-Complex Capsule Premix PRM101 (VitaActives)"/>
    <s v=""/>
  </r>
  <r>
    <s v="JANEZ-MRP"/>
    <s v=" "/>
    <x v="3"/>
    <s v="Novo"/>
    <b v="1"/>
    <m/>
    <d v="2026-10-12T00:00:00"/>
    <d v="2026-11-11T00:00:00"/>
    <d v="2026-11-11T00:00:00"/>
    <x v="3"/>
    <s v=""/>
    <n v="0"/>
    <b v="0"/>
    <n v="360"/>
    <s v="Nabava"/>
    <s v="0002"/>
    <s v="Magnesium Carbonate Heavy Powder (Vita Actives)RM1372-A"/>
    <s v=""/>
  </r>
  <r>
    <s v="JANEZ-MRP"/>
    <s v=" "/>
    <x v="4"/>
    <s v="Novo"/>
    <b v="1"/>
    <m/>
    <d v="2026-11-22T00:00:00"/>
    <d v="2026-12-22T00:00:00"/>
    <d v="2026-12-22T00:00:00"/>
    <x v="4"/>
    <s v=""/>
    <n v="0"/>
    <b v="0"/>
    <n v="500"/>
    <s v="Nabava"/>
    <s v="0002"/>
    <s v="Magnesium Stearate [Vegetable] (Vita Actives)RM465"/>
    <s v=""/>
  </r>
  <r>
    <s v="JANEZ-MRP"/>
    <s v=" "/>
    <x v="5"/>
    <s v="Novo"/>
    <b v="1"/>
    <m/>
    <d v="2026-11-21T00:00:00"/>
    <d v="2026-12-21T00:00:00"/>
    <d v="2026-12-21T00:00:00"/>
    <x v="5"/>
    <s v=""/>
    <n v="0"/>
    <b v="0"/>
    <n v="75"/>
    <s v="Nabava"/>
    <s v="0002"/>
    <s v="D-RIBOSE (Vita Actives) RM056"/>
    <s v=""/>
  </r>
  <r>
    <s v="JANEZ-MRP"/>
    <s v=" "/>
    <x v="6"/>
    <s v="Novo"/>
    <b v="1"/>
    <m/>
    <d v="2026-11-02T00:00:00"/>
    <d v="2026-12-02T00:00:00"/>
    <d v="2026-12-02T00:00:00"/>
    <x v="6"/>
    <s v=""/>
    <n v="0"/>
    <b v="0"/>
    <n v="200"/>
    <s v="Nabava"/>
    <s v="0002"/>
    <s v="RHODIOLA DE 3% ROSAVINS 1% SALIDROSIDE (Vita Actives) RM461"/>
    <s v=""/>
  </r>
  <r>
    <s v="JANEZ-MRP"/>
    <s v=" "/>
    <x v="6"/>
    <s v="Novo"/>
    <b v="1"/>
    <m/>
    <d v="2026-11-21T00:00:00"/>
    <d v="2026-12-21T00:00:00"/>
    <d v="2026-12-21T00:00:00"/>
    <x v="6"/>
    <s v=""/>
    <n v="0"/>
    <b v="0"/>
    <n v="75"/>
    <s v="Nabava"/>
    <s v="0002"/>
    <s v="RHODIOLA DE 3% ROSAVINS 1% SALIDROSIDE (Vita Actives) RM461"/>
    <s v=""/>
  </r>
  <r>
    <s v="JANEZ-MRP"/>
    <s v=" "/>
    <x v="7"/>
    <s v="Novo"/>
    <b v="1"/>
    <m/>
    <d v="2026-11-21T00:00:00"/>
    <d v="2026-12-21T00:00:00"/>
    <d v="2026-12-21T00:00:00"/>
    <x v="7"/>
    <s v=""/>
    <n v="0"/>
    <b v="0"/>
    <n v="30"/>
    <s v="Nabava"/>
    <s v="0002"/>
    <s v="KSM-66® [Ashwagandha extract] RM1236"/>
    <s v=""/>
  </r>
  <r>
    <s v="JANEZ-MRP"/>
    <s v=" "/>
    <x v="8"/>
    <s v="Novo"/>
    <b v="1"/>
    <m/>
    <d v="2026-11-02T00:00:00"/>
    <d v="2026-12-02T00:00:00"/>
    <d v="2026-12-02T00:00:00"/>
    <x v="8"/>
    <s v=""/>
    <n v="0"/>
    <b v="0"/>
    <n v="450"/>
    <s v="Nabava"/>
    <s v="0002"/>
    <s v="TeaXcel® E40 - Green tea leaf 95% polyphenols RM303"/>
    <s v=""/>
  </r>
  <r>
    <s v="JANEZ-MRP"/>
    <s v=" "/>
    <x v="9"/>
    <s v="Novo"/>
    <b v="1"/>
    <m/>
    <d v="2026-11-02T00:00:00"/>
    <d v="2026-12-02T00:00:00"/>
    <d v="2026-12-02T00:00:00"/>
    <x v="9"/>
    <s v=""/>
    <n v="0"/>
    <b v="0"/>
    <n v="100"/>
    <s v="Nabava"/>
    <s v="0002"/>
    <s v="CAYENNE PEPER 10:1 (Vita Actives) RM4766"/>
    <s v=""/>
  </r>
  <r>
    <s v="JANEZ-MRP"/>
    <s v=" "/>
    <x v="10"/>
    <s v="Novo"/>
    <b v="1"/>
    <m/>
    <d v="2026-11-02T00:00:00"/>
    <d v="2026-12-02T00:00:00"/>
    <d v="2026-12-02T00:00:00"/>
    <x v="10"/>
    <s v=""/>
    <n v="0"/>
    <b v="0"/>
    <n v="100"/>
    <s v="Nabava"/>
    <s v="0002"/>
    <s v="Grape Seed Extract GSE (Vita Actives) RM4160 "/>
    <s v=""/>
  </r>
  <r>
    <s v="JANEZ-MRP"/>
    <s v=" "/>
    <x v="11"/>
    <s v="Novo"/>
    <b v="1"/>
    <m/>
    <d v="2026-11-02T00:00:00"/>
    <d v="2026-12-02T00:00:00"/>
    <d v="2026-12-02T00:00:00"/>
    <x v="11"/>
    <s v=""/>
    <n v="0"/>
    <b v="0"/>
    <n v="50"/>
    <s v="Nabava"/>
    <s v="0002"/>
    <s v="Caffeine Anhydrous powder (Vita Actives) RM017"/>
    <s v=""/>
  </r>
  <r>
    <s v="JANEZ-MRP"/>
    <s v=" "/>
    <x v="12"/>
    <s v="Novo"/>
    <b v="1"/>
    <m/>
    <d v="2026-10-12T00:00:00"/>
    <d v="2026-11-11T00:00:00"/>
    <d v="2026-11-11T00:00:00"/>
    <x v="12"/>
    <s v=""/>
    <n v="0"/>
    <b v="0"/>
    <n v="1000"/>
    <s v="Nabava"/>
    <s v="0002"/>
    <s v="Magnesium Oxide DC Granular RM118B  (Vita Actives)"/>
    <s v=""/>
  </r>
  <r>
    <s v="JANEZ-MRP"/>
    <s v=" "/>
    <x v="12"/>
    <s v="Novo"/>
    <b v="1"/>
    <m/>
    <d v="2026-10-12T00:00:00"/>
    <d v="2026-11-11T00:00:00"/>
    <d v="2026-11-11T00:00:00"/>
    <x v="12"/>
    <s v=""/>
    <n v="0"/>
    <b v="0"/>
    <n v="500"/>
    <s v="Nabava"/>
    <s v="0002"/>
    <s v="Magnesium Oxide DC Granular RM118B  (Vita Actives)"/>
    <s v=""/>
  </r>
  <r>
    <s v="JANEZ-MRP"/>
    <s v=" "/>
    <x v="13"/>
    <s v="Novo"/>
    <b v="1"/>
    <m/>
    <d v="2026-11-29T00:00:00"/>
    <d v="2026-12-29T00:00:00"/>
    <d v="2026-12-29T00:00:00"/>
    <x v="13"/>
    <s v=""/>
    <n v="0"/>
    <b v="0"/>
    <n v="25"/>
    <s v="Nabava"/>
    <s v="0002"/>
    <s v="Isomaltulose Powder RM1501 (Vita Actives)"/>
    <s v=""/>
  </r>
  <r>
    <s v="JANEZ-MRP"/>
    <s v=" "/>
    <x v="14"/>
    <s v="Novo"/>
    <b v="1"/>
    <m/>
    <d v="2026-04-26T00:00:00"/>
    <d v="2026-05-26T00:00:00"/>
    <d v="2026-05-26T00:00:00"/>
    <x v="14"/>
    <s v=""/>
    <n v="0"/>
    <b v="0"/>
    <n v="25"/>
    <s v="Nabava"/>
    <s v="0006"/>
    <s v="Citric Acid Anhydrous (Pharmavit)"/>
    <s v=""/>
  </r>
  <r>
    <s v="JANEZ-MRP"/>
    <s v=" "/>
    <x v="14"/>
    <s v="Novo"/>
    <b v="1"/>
    <m/>
    <d v="2026-11-29T00:00:00"/>
    <d v="2026-12-29T00:00:00"/>
    <d v="2026-12-29T00:00:00"/>
    <x v="14"/>
    <s v=""/>
    <n v="0"/>
    <b v="0"/>
    <n v="25"/>
    <s v="Nabava"/>
    <s v="0006"/>
    <s v="Citric Acid Anhydrous (Pharmavit)"/>
    <s v=""/>
  </r>
  <r>
    <s v="JANEZ-MRP"/>
    <s v=" "/>
    <x v="15"/>
    <s v="Novo"/>
    <b v="1"/>
    <m/>
    <d v="2026-11-21T00:00:00"/>
    <d v="2026-12-21T00:00:00"/>
    <d v="2026-12-21T00:00:00"/>
    <x v="15"/>
    <s v=""/>
    <n v="0"/>
    <b v="0"/>
    <n v="75"/>
    <s v="Nabava"/>
    <s v="0002"/>
    <s v="Calcium pyruvate  powder RM730 (VitaActives)"/>
    <s v=""/>
  </r>
  <r>
    <s v="JANEZ-MRP"/>
    <s v=" "/>
    <x v="16"/>
    <s v="Novo"/>
    <b v="1"/>
    <m/>
    <d v="2026-11-02T00:00:00"/>
    <d v="2026-12-02T00:00:00"/>
    <d v="2026-12-02T00:00:00"/>
    <x v="16"/>
    <s v=""/>
    <n v="0"/>
    <b v="0"/>
    <n v="25"/>
    <s v="Nabava"/>
    <s v="0002"/>
    <s v="GINSENG EXTRACT 80% RM 713 (VitaActives)"/>
    <s v=""/>
  </r>
  <r>
    <s v="JANEZ-MRP"/>
    <s v=" "/>
    <x v="17"/>
    <s v="Novo"/>
    <b v="1"/>
    <m/>
    <d v="2026-11-24T00:00:00"/>
    <d v="2026-12-24T00:00:00"/>
    <d v="2026-12-24T00:00:00"/>
    <x v="17"/>
    <s v=""/>
    <n v="0"/>
    <b v="0"/>
    <n v="10"/>
    <s v="Nabava"/>
    <s v="0078"/>
    <s v="00123  Cordyceps 7% Cordiceptic Acid extract powder (Alpine Nutrition)"/>
    <s v=""/>
  </r>
  <r>
    <s v="JANEZ-MRP"/>
    <s v=" "/>
    <x v="18"/>
    <s v="Novo"/>
    <b v="1"/>
    <m/>
    <d v="2026-05-24T00:00:00"/>
    <d v="2026-06-23T00:00:00"/>
    <d v="2026-06-23T00:00:00"/>
    <x v="18"/>
    <s v=""/>
    <n v="0"/>
    <b v="0"/>
    <n v="225"/>
    <s v="Nabava"/>
    <s v="0002"/>
    <s v="Creatine HCL  hydrochloride RM 032  (VitaActives)"/>
    <s v=""/>
  </r>
  <r>
    <s v="JANEZ-MRP"/>
    <s v=" "/>
    <x v="18"/>
    <s v="Novo"/>
    <b v="1"/>
    <m/>
    <d v="2026-11-18T00:00:00"/>
    <d v="2026-12-18T00:00:00"/>
    <d v="2026-12-18T00:00:00"/>
    <x v="18"/>
    <s v=""/>
    <n v="0"/>
    <b v="0"/>
    <n v="675"/>
    <s v="Nabava"/>
    <s v="0002"/>
    <s v="Creatine HCL  hydrochloride RM 032  (VitaActives)"/>
    <s v=""/>
  </r>
  <r>
    <s v="JANEZ-MRP"/>
    <s v=" "/>
    <x v="19"/>
    <s v="Novo"/>
    <b v="1"/>
    <m/>
    <d v="2026-10-27T00:00:00"/>
    <d v="2026-11-26T00:00:00"/>
    <d v="2026-11-26T00:00:00"/>
    <x v="19"/>
    <s v=""/>
    <n v="0"/>
    <b v="0"/>
    <n v="500"/>
    <s v="Nabava"/>
    <s v="0002"/>
    <s v="Beta Vulgaris extract 10:1 (Vita Actives) RM4790"/>
    <s v=""/>
  </r>
  <r>
    <s v="JANEZ-MRP"/>
    <s v=" "/>
    <x v="19"/>
    <s v="Novo"/>
    <b v="1"/>
    <m/>
    <d v="2026-10-27T00:00:00"/>
    <d v="2026-11-26T00:00:00"/>
    <d v="2026-11-26T00:00:00"/>
    <x v="19"/>
    <s v=""/>
    <n v="0"/>
    <b v="0"/>
    <n v="100"/>
    <s v="Nabava"/>
    <s v="0002"/>
    <s v="Beta Vulgaris extract 10:1 (Vita Actives) RM4790"/>
    <s v=""/>
  </r>
  <r>
    <s v="JANEZ-MRP"/>
    <s v=" "/>
    <x v="20"/>
    <s v="Novo"/>
    <b v="1"/>
    <m/>
    <d v="2026-10-27T00:00:00"/>
    <d v="2026-11-26T00:00:00"/>
    <d v="2026-11-26T00:00:00"/>
    <x v="20"/>
    <s v=""/>
    <n v="0"/>
    <b v="0"/>
    <n v="375"/>
    <s v="Nabava"/>
    <s v="0002"/>
    <s v="Red spinach extract (9% Nitrate conc.) (Vita Actives) RM4560"/>
    <s v=""/>
  </r>
  <r>
    <s v="JANEZ-MRP"/>
    <s v=" "/>
    <x v="21"/>
    <s v="Novo"/>
    <b v="1"/>
    <m/>
    <d v="2026-10-27T00:00:00"/>
    <d v="2026-11-26T00:00:00"/>
    <d v="2026-11-26T00:00:00"/>
    <x v="21"/>
    <s v=""/>
    <n v="0"/>
    <b v="0"/>
    <n v="275"/>
    <s v="Nabava"/>
    <s v="0002"/>
    <s v="Arugula extract 10:1 (Vita Actives) RM4783"/>
    <s v=""/>
  </r>
  <r>
    <s v="JANEZ-MRP"/>
    <s v=" "/>
    <x v="22"/>
    <s v="Novo"/>
    <b v="1"/>
    <m/>
    <d v="2026-11-22T00:00:00"/>
    <d v="2026-12-22T00:00:00"/>
    <d v="2026-12-22T00:00:00"/>
    <x v="22"/>
    <s v=""/>
    <n v="0"/>
    <b v="0"/>
    <n v="675"/>
    <s v="Nabava"/>
    <s v="0006"/>
    <s v="L-Carnitin-L-Tartrate (Pharmavit) A0531"/>
    <s v=""/>
  </r>
  <r>
    <s v="JANEZ-MRP"/>
    <s v=" "/>
    <x v="23"/>
    <s v="Novo"/>
    <b v="1"/>
    <m/>
    <d v="2026-11-22T00:00:00"/>
    <d v="2026-12-22T00:00:00"/>
    <d v="2026-12-22T00:00:00"/>
    <x v="23"/>
    <s v=""/>
    <n v="0"/>
    <b v="0"/>
    <n v="175"/>
    <s v="Nabava"/>
    <s v="0006"/>
    <s v="A1399 N-Acetyl-L-Carnitin (Pharmavit) _x0009_A1399"/>
    <s v=""/>
  </r>
  <r>
    <s v="JANEZ-MRP"/>
    <s v=" "/>
    <x v="24"/>
    <s v="Novo"/>
    <b v="1"/>
    <m/>
    <d v="2026-11-22T00:00:00"/>
    <d v="2026-12-22T00:00:00"/>
    <d v="2026-12-22T00:00:00"/>
    <x v="24"/>
    <s v=""/>
    <n v="0"/>
    <b v="0"/>
    <n v="25"/>
    <s v="Nabava"/>
    <s v="0002"/>
    <s v="Bearberry [Arctostaphylos uva-ursi] leaf 20% Arbutin [HPLC] powder extract (RM4422)"/>
    <s v=""/>
  </r>
  <r>
    <s v="JANEZ-MRP"/>
    <s v=" "/>
    <x v="25"/>
    <s v="Novo"/>
    <b v="1"/>
    <m/>
    <d v="2026-11-22T00:00:00"/>
    <d v="2026-12-22T00:00:00"/>
    <d v="2026-12-22T00:00:00"/>
    <x v="25"/>
    <s v=""/>
    <n v="0"/>
    <b v="0"/>
    <n v="25"/>
    <s v="Nabava"/>
    <s v="0002"/>
    <s v="Dandelion [Taraxacum officinale] root 2% Flavones [UV] powder extract (5 to 1) (RM1378)"/>
    <s v=""/>
  </r>
  <r>
    <s v="JANEZ-MRP"/>
    <s v=" "/>
    <x v="26"/>
    <s v="Novo"/>
    <b v="1"/>
    <m/>
    <d v="2026-11-22T00:00:00"/>
    <d v="2026-12-22T00:00:00"/>
    <d v="2026-12-22T00:00:00"/>
    <x v="26"/>
    <s v=""/>
    <n v="0"/>
    <b v="0"/>
    <n v="25"/>
    <s v="Nabava"/>
    <s v="0002"/>
    <s v="Parsley [Petroselinum crispum] herb 10 to 1 powder extract (RM4626)"/>
    <s v=""/>
  </r>
  <r>
    <s v="JANEZ-MRP"/>
    <s v=" "/>
    <x v="27"/>
    <s v="Novo"/>
    <b v="1"/>
    <m/>
    <d v="2026-11-22T00:00:00"/>
    <d v="2026-12-22T00:00:00"/>
    <d v="2026-12-22T00:00:00"/>
    <x v="27"/>
    <s v=""/>
    <n v="0"/>
    <b v="0"/>
    <n v="25"/>
    <s v="Nabava"/>
    <s v="0002"/>
    <s v="Artichoke [Cynara scolymus L] leaf 5% Cynarin [UV] powder extract (RM1293)"/>
    <s v=""/>
  </r>
  <r>
    <s v="JANEZ-MRP"/>
    <s v=" "/>
    <x v="28"/>
    <s v="Novo"/>
    <b v="1"/>
    <m/>
    <d v="2026-11-22T00:00:00"/>
    <d v="2026-12-22T00:00:00"/>
    <d v="2026-12-22T00:00:00"/>
    <x v="28"/>
    <s v=""/>
    <n v="0"/>
    <b v="0"/>
    <n v="25"/>
    <s v="Nabava"/>
    <s v="0002"/>
    <s v="Pyridoxine hydrochloride powder [Vitamin B6] RM135 (VitaActives)"/>
    <s v=""/>
  </r>
  <r>
    <s v="JANEZ-MRP"/>
    <s v=" "/>
    <x v="29"/>
    <s v="Novo"/>
    <b v="1"/>
    <m/>
    <d v="2026-11-21T00:00:00"/>
    <d v="2026-12-21T00:00:00"/>
    <d v="2026-12-21T00:00:00"/>
    <x v="29"/>
    <s v=""/>
    <n v="0"/>
    <b v="0"/>
    <n v="75"/>
    <s v="Nabava"/>
    <s v="0002"/>
    <s v="TriPotassium Citrate anhydrous powder RM2042 (VitaActives)"/>
    <s v=""/>
  </r>
  <r>
    <s v="JANEZ-MRP"/>
    <s v=" "/>
    <x v="29"/>
    <s v="Novo"/>
    <b v="1"/>
    <m/>
    <d v="2026-11-22T00:00:00"/>
    <d v="2026-12-22T00:00:00"/>
    <d v="2026-12-22T00:00:00"/>
    <x v="29"/>
    <s v=""/>
    <n v="0"/>
    <b v="0"/>
    <n v="75"/>
    <s v="Nabava"/>
    <s v="0002"/>
    <s v="TriPotassium Citrate anhydrous powder RM2042 (VitaActives)"/>
    <s v=""/>
  </r>
  <r>
    <s v="JANEZ-MRP"/>
    <s v=" "/>
    <x v="30"/>
    <s v="Novo"/>
    <b v="1"/>
    <m/>
    <d v="2026-11-28T00:00:00"/>
    <d v="2026-12-28T00:00:00"/>
    <d v="2026-12-28T00:00:00"/>
    <x v="30"/>
    <s v=""/>
    <n v="0"/>
    <b v="0"/>
    <n v="50"/>
    <s v="Nabava"/>
    <s v="0002"/>
    <s v="Magnesium citrate buffered [30% Mg] powder RM2006 (VitaActives)"/>
    <s v=""/>
  </r>
  <r>
    <s v="JANEZ-MRP"/>
    <s v=" "/>
    <x v="31"/>
    <s v="Novo"/>
    <b v="1"/>
    <m/>
    <d v="2026-11-21T00:00:00"/>
    <d v="2026-12-21T00:00:00"/>
    <d v="2026-12-21T00:00:00"/>
    <x v="31"/>
    <s v=""/>
    <n v="0"/>
    <b v="0"/>
    <n v="775"/>
    <s v="Nabava"/>
    <s v="0006"/>
    <s v="A1306_B AMINOFERMENT® Beta Alanin (Pharmavit)"/>
    <s v=""/>
  </r>
  <r>
    <s v="JANEZ-MRP"/>
    <s v=" "/>
    <x v="32"/>
    <s v="Novo"/>
    <b v="1"/>
    <m/>
    <d v="2026-11-21T00:00:00"/>
    <d v="2026-12-21T00:00:00"/>
    <d v="2026-12-21T00:00:00"/>
    <x v="32"/>
    <s v=""/>
    <n v="0"/>
    <b v="0"/>
    <n v="25"/>
    <s v="Nabava"/>
    <s v="0003"/>
    <s v="Senactiv (HSH)"/>
    <s v=""/>
  </r>
  <r>
    <s v="JANEZ-MRP"/>
    <s v=" "/>
    <x v="33"/>
    <s v="Novo"/>
    <b v="1"/>
    <m/>
    <d v="2026-11-28T00:00:00"/>
    <d v="2026-12-28T00:00:00"/>
    <d v="2026-12-28T00:00:00"/>
    <x v="33"/>
    <s v=""/>
    <n v="0"/>
    <b v="0"/>
    <n v="25"/>
    <s v="Nabava"/>
    <s v="0002"/>
    <s v="Cholecalciferol [100,000 IU per g [0.25% D3]] powder RM159-B (VitaActives) - Vitamin D3 "/>
    <s v=""/>
  </r>
  <r>
    <s v="JANEZ-MRP"/>
    <s v=" "/>
    <x v="34"/>
    <s v="Novo"/>
    <b v="1"/>
    <m/>
    <d v="2026-04-27T00:00:00"/>
    <d v="2026-05-27T00:00:00"/>
    <d v="2026-05-27T00:00:00"/>
    <x v="34"/>
    <s v=""/>
    <n v="0"/>
    <b v="0"/>
    <n v="25"/>
    <s v="Nabava"/>
    <s v="0078"/>
    <s v="L-ORNITHINE HCL - O1063201 (AlpineGroup)"/>
    <s v=""/>
  </r>
  <r>
    <s v="JANEZ-MRP"/>
    <s v=" "/>
    <x v="34"/>
    <s v="Novo"/>
    <b v="1"/>
    <m/>
    <d v="2026-11-24T00:00:00"/>
    <d v="2026-12-24T00:00:00"/>
    <d v="2026-12-24T00:00:00"/>
    <x v="34"/>
    <s v=""/>
    <n v="0"/>
    <b v="0"/>
    <n v="100"/>
    <s v="Nabava"/>
    <s v="0078"/>
    <s v="L-ORNITHINE HCL - O1063201 (AlpineGroup)"/>
    <s v=""/>
  </r>
  <r>
    <s v="JANEZ-MRP"/>
    <s v=" "/>
    <x v="35"/>
    <s v="Novo"/>
    <b v="1"/>
    <m/>
    <d v="2026-11-25T00:00:00"/>
    <d v="2026-12-25T00:00:00"/>
    <d v="2026-12-25T00:00:00"/>
    <x v="35"/>
    <s v=""/>
    <n v="0"/>
    <b v="0"/>
    <n v="75"/>
    <s v="Nabava"/>
    <s v="0002"/>
    <s v="Fructo-oligosaccharides [FOS] Powder [Low aw] [Source: Sugarcane] (RM1525-A) VitaActives"/>
    <s v=""/>
  </r>
  <r>
    <s v="JANEZ-MRP"/>
    <s v=" "/>
    <x v="36"/>
    <s v="Novo"/>
    <b v="1"/>
    <m/>
    <d v="2026-12-21T00:00:00"/>
    <d v="2026-12-21T00:00:00"/>
    <d v="2026-12-21T00:00:00"/>
    <x v="36"/>
    <s v=""/>
    <n v="0"/>
    <b v="0"/>
    <n v="25"/>
    <s v="Nabava"/>
    <s v="0133"/>
    <s v="Art. 849FRF – exGrape™ SEED OPCFR Grape Seed Extract (Breko)"/>
    <s v=""/>
  </r>
  <r>
    <s v="JANEZ-MRP"/>
    <s v=" "/>
    <x v="37"/>
    <s v="Novo"/>
    <b v="1"/>
    <m/>
    <d v="2026-11-25T00:00:00"/>
    <d v="2026-12-25T00:00:00"/>
    <d v="2026-12-25T00:00:00"/>
    <x v="37"/>
    <s v=""/>
    <n v="0"/>
    <b v="0"/>
    <n v="25"/>
    <s v="Nabava"/>
    <s v="0002"/>
    <s v="Glucomannan 95% [Ex- Amorphophallus konjac] RM1285 (VitaActives)"/>
    <s v=""/>
  </r>
  <r>
    <s v="JANEZ-MRP"/>
    <s v=" "/>
    <x v="38"/>
    <s v="Novo"/>
    <b v="1"/>
    <m/>
    <d v="2026-11-25T00:00:00"/>
    <d v="2026-12-25T00:00:00"/>
    <d v="2026-12-25T00:00:00"/>
    <x v="38"/>
    <s v=""/>
    <n v="0"/>
    <b v="0"/>
    <n v="150"/>
    <s v="Nabava"/>
    <s v="0002"/>
    <s v="L-Tyrosine powder [Vegan] RM563 (VitaActives)"/>
    <s v=""/>
  </r>
  <r>
    <s v="JANEZ-MRP"/>
    <s v=" "/>
    <x v="39"/>
    <s v="Novo"/>
    <b v="1"/>
    <m/>
    <d v="2026-11-25T00:00:00"/>
    <d v="2026-12-25T00:00:00"/>
    <d v="2026-12-25T00:00:00"/>
    <x v="39"/>
    <s v=""/>
    <n v="0"/>
    <b v="0"/>
    <n v="150"/>
    <s v="Nabava"/>
    <s v="0002"/>
    <s v="L-Carnitine L-Tartrate powder [60 mesh] RM082-A (VitaActives)"/>
    <s v=""/>
  </r>
  <r>
    <s v="JANEZ-MRP"/>
    <s v=" "/>
    <x v="40"/>
    <s v="Novo"/>
    <b v="1"/>
    <m/>
    <d v="2026-11-25T00:00:00"/>
    <d v="2026-12-25T00:00:00"/>
    <d v="2026-12-25T00:00:00"/>
    <x v="40"/>
    <s v=""/>
    <n v="0"/>
    <b v="0"/>
    <n v="50"/>
    <s v="Nabava"/>
    <s v="0002"/>
    <s v="Choline (L+) Bitartrate Powder [Conditioned with 1% Silica] RM567-A"/>
    <s v=""/>
  </r>
  <r>
    <s v="JANEZ-MRP"/>
    <s v=" "/>
    <x v="41"/>
    <s v="Novo"/>
    <b v="1"/>
    <m/>
    <d v="2026-11-25T00:00:00"/>
    <d v="2026-12-25T00:00:00"/>
    <d v="2026-12-25T00:00:00"/>
    <x v="41"/>
    <s v=""/>
    <n v="0"/>
    <b v="0"/>
    <n v="25"/>
    <s v="Nabava"/>
    <s v="0002"/>
    <s v="Coleus [Coleus forskohlii] root 4 t 1 powder extract RM4761 (VitaActives)"/>
    <s v=""/>
  </r>
  <r>
    <s v="JANEZ-MRP"/>
    <s v=" "/>
    <x v="42"/>
    <s v="Novo"/>
    <b v="1"/>
    <m/>
    <d v="2026-11-25T00:00:00"/>
    <d v="2026-12-25T00:00:00"/>
    <d v="2026-12-25T00:00:00"/>
    <x v="42"/>
    <s v=""/>
    <n v="0"/>
    <b v="0"/>
    <n v="25"/>
    <s v="Nabava"/>
    <s v="0002"/>
    <s v="African mango [Irvingia gabonensis] seed 10 to 1 powder extract RM786 (VitaActives)"/>
    <s v=""/>
  </r>
  <r>
    <s v="JANEZ-MRP"/>
    <s v=" "/>
    <x v="43"/>
    <s v="Novo"/>
    <b v="1"/>
    <m/>
    <d v="2026-06-10T00:00:00"/>
    <d v="2026-07-10T00:00:00"/>
    <d v="2026-07-10T00:00:00"/>
    <x v="43"/>
    <s v=""/>
    <n v="0"/>
    <b v="0"/>
    <n v="25"/>
    <s v="Nabava"/>
    <s v="0002"/>
    <s v="Parsley [Petroselinum crispum] herb 10 to 1 powder extract RM4626 (VitaActives)"/>
    <s v=""/>
  </r>
  <r>
    <s v="JANEZ-MRP"/>
    <s v=" "/>
    <x v="43"/>
    <s v="Novo"/>
    <b v="1"/>
    <m/>
    <d v="2026-11-25T00:00:00"/>
    <d v="2026-12-25T00:00:00"/>
    <d v="2026-12-25T00:00:00"/>
    <x v="43"/>
    <s v=""/>
    <n v="0"/>
    <b v="0"/>
    <n v="25"/>
    <s v="Nabava"/>
    <s v="0002"/>
    <s v="Parsley [Petroselinum crispum] herb 10 to 1 powder extract RM4626 (VitaActives)"/>
    <s v=""/>
  </r>
  <r>
    <s v="JANEZ-MRP"/>
    <s v=" "/>
    <x v="44"/>
    <s v="Novo"/>
    <b v="1"/>
    <m/>
    <d v="2026-11-25T00:00:00"/>
    <d v="2026-12-25T00:00:00"/>
    <d v="2026-12-25T00:00:00"/>
    <x v="44"/>
    <s v=""/>
    <n v="0"/>
    <b v="0"/>
    <n v="25"/>
    <s v="Nabava"/>
    <s v="0002"/>
    <s v="Bromelain 2500 GDU/g [Ex-Ananas comosus L.] powder RM7005-A (VitaActives)"/>
    <s v=""/>
  </r>
  <r>
    <s v="JANEZ-MRP"/>
    <s v=" "/>
    <x v="45"/>
    <s v="Novo"/>
    <b v="1"/>
    <m/>
    <d v="2026-11-25T00:00:00"/>
    <d v="2026-12-25T00:00:00"/>
    <d v="2026-12-25T00:00:00"/>
    <x v="45"/>
    <s v=""/>
    <n v="0"/>
    <b v="0"/>
    <n v="10"/>
    <s v="Nabava"/>
    <s v="0002"/>
    <s v="Actamide - Black pepper [Piper nigrum] fruit 95% piperine powder extract RM012-A (VitaActives)"/>
    <s v=""/>
  </r>
  <r>
    <s v="JANEZ-MRP"/>
    <s v=" "/>
    <x v="46"/>
    <s v="Novo"/>
    <b v="1"/>
    <m/>
    <d v="2026-11-24T00:00:00"/>
    <d v="2026-12-24T00:00:00"/>
    <d v="2026-12-24T00:00:00"/>
    <x v="46"/>
    <s v=""/>
    <n v="0"/>
    <b v="0"/>
    <n v="75"/>
    <s v="Nabava"/>
    <s v="0078"/>
    <s v="Fenugreek Extract (AlpineGroup)"/>
    <s v=""/>
  </r>
  <r>
    <s v="JANEZ-MRP"/>
    <s v=" "/>
    <x v="47"/>
    <s v="Novo"/>
    <b v="1"/>
    <m/>
    <d v="2026-05-27T00:00:00"/>
    <d v="2026-05-27T00:00:00"/>
    <d v="2026-05-27T00:00:00"/>
    <x v="47"/>
    <s v=""/>
    <n v="0"/>
    <b v="0"/>
    <n v="25"/>
    <s v="Nabava"/>
    <s v="0062"/>
    <s v="Magnesium Stearate (Vegetable) (MOSSELMAN)"/>
    <s v=""/>
  </r>
  <r>
    <s v="JANEZ-MRP"/>
    <s v=" "/>
    <x v="48"/>
    <s v="Novo"/>
    <b v="1"/>
    <m/>
    <d v="2026-11-24T00:00:00"/>
    <d v="2026-12-24T00:00:00"/>
    <d v="2026-12-24T00:00:00"/>
    <x v="48"/>
    <s v=""/>
    <n v="0"/>
    <b v="0"/>
    <n v="75"/>
    <s v="Nabava"/>
    <s v="0078"/>
    <s v="Ashwaganda Extact (7% withanolides)  (AlpineGroup)"/>
    <s v=""/>
  </r>
  <r>
    <s v="JANEZ-MRP"/>
    <s v=" "/>
    <x v="49"/>
    <s v="Novo"/>
    <b v="1"/>
    <m/>
    <d v="2026-11-24T00:00:00"/>
    <d v="2026-12-24T00:00:00"/>
    <d v="2026-12-24T00:00:00"/>
    <x v="49"/>
    <s v=""/>
    <n v="0"/>
    <b v="0"/>
    <n v="10"/>
    <s v="Nabava"/>
    <s v="0002"/>
    <s v="Black Maca [Lepidium meyenii Walp.] RM4336 (VitaActives) "/>
    <s v=""/>
  </r>
  <r>
    <s v="JANEZ-MRP"/>
    <s v=" "/>
    <x v="50"/>
    <s v="Novo"/>
    <b v="1"/>
    <m/>
    <d v="2026-11-24T00:00:00"/>
    <d v="2026-12-24T00:00:00"/>
    <d v="2026-12-24T00:00:00"/>
    <x v="50"/>
    <s v=""/>
    <n v="0"/>
    <b v="0"/>
    <n v="10"/>
    <s v="Nabava"/>
    <s v="0002"/>
    <s v="Suma [Pfaffia Paniculata] root 10 to 1 powder extract RM5201 (VitaActives)"/>
    <s v=""/>
  </r>
  <r>
    <s v="JANEZ-MRP"/>
    <s v=" "/>
    <x v="51"/>
    <s v="Novo"/>
    <b v="1"/>
    <m/>
    <d v="2026-11-24T00:00:00"/>
    <d v="2026-12-24T00:00:00"/>
    <d v="2026-12-24T00:00:00"/>
    <x v="51"/>
    <s v=""/>
    <n v="0"/>
    <b v="0"/>
    <n v="50"/>
    <s v="Nabava"/>
    <s v="0002"/>
    <s v="D-Aspartic acid powder RM048 (VitaActives)"/>
    <s v=""/>
  </r>
  <r>
    <s v="JANEZ-MRP"/>
    <s v=" "/>
    <x v="52"/>
    <s v="Novo"/>
    <b v="1"/>
    <m/>
    <d v="2026-11-24T00:00:00"/>
    <d v="2026-12-24T00:00:00"/>
    <d v="2026-12-24T00:00:00"/>
    <x v="52"/>
    <s v=""/>
    <n v="0"/>
    <b v="0"/>
    <n v="10"/>
    <s v="Nabava"/>
    <s v="0002"/>
    <s v="Boron bisglycinate [3.5% B] powder RM2005 (VitaActives)"/>
    <s v=""/>
  </r>
  <r>
    <s v="JANEZ-MRP"/>
    <s v=" "/>
    <x v="53"/>
    <s v="Novo"/>
    <b v="1"/>
    <m/>
    <d v="2026-11-24T00:00:00"/>
    <d v="2026-12-24T00:00:00"/>
    <d v="2026-12-24T00:00:00"/>
    <x v="53"/>
    <s v=""/>
    <n v="0"/>
    <b v="0"/>
    <n v="25"/>
    <s v="Nabava"/>
    <s v="0002"/>
    <s v="Red Ginseng Extract (10% ginsenosides) (AlpineGroup)"/>
    <s v=""/>
  </r>
  <r>
    <s v="JANEZ-MRP"/>
    <s v=" "/>
    <x v="54"/>
    <s v="Novo"/>
    <b v="1"/>
    <m/>
    <d v="2026-11-24T00:00:00"/>
    <d v="2026-12-24T00:00:00"/>
    <d v="2026-12-24T00:00:00"/>
    <x v="54"/>
    <s v=""/>
    <n v="0"/>
    <b v="0"/>
    <n v="25"/>
    <s v="Nabava"/>
    <s v="0078"/>
    <s v="Shilajit Extract (AlpineGroup)"/>
    <s v=""/>
  </r>
  <r>
    <s v="JANEZ-MRP"/>
    <s v=" "/>
    <x v="55"/>
    <s v="Novo"/>
    <b v="1"/>
    <m/>
    <d v="2026-11-24T00:00:00"/>
    <d v="2026-12-24T00:00:00"/>
    <d v="2026-12-24T00:00:00"/>
    <x v="55"/>
    <s v=""/>
    <n v="0"/>
    <b v="0"/>
    <n v="25"/>
    <s v="Nabava"/>
    <s v="0078"/>
    <s v="Tribulus Terrestris Extract (90% saponins)  (AlpineGorup)"/>
    <s v=""/>
  </r>
  <r>
    <s v="JANEZ-MRP"/>
    <s v=" "/>
    <x v="56"/>
    <s v="Novo"/>
    <b v="1"/>
    <m/>
    <d v="2026-11-22T00:00:00"/>
    <d v="2026-12-22T00:00:00"/>
    <d v="2026-12-22T00:00:00"/>
    <x v="56"/>
    <s v=""/>
    <n v="0"/>
    <b v="0"/>
    <n v="25"/>
    <s v="Nabava"/>
    <s v="0002"/>
    <s v="Magnesium L-Aspartate powder VA RM2056 (VitaActives)"/>
    <s v=""/>
  </r>
  <r>
    <s v="JANEZ-MRP"/>
    <s v=" "/>
    <x v="57"/>
    <s v="Novo"/>
    <b v="1"/>
    <m/>
    <d v="2026-11-21T00:00:00"/>
    <d v="2026-12-21T00:00:00"/>
    <d v="2026-12-21T00:00:00"/>
    <x v="57"/>
    <s v=""/>
    <n v="0"/>
    <b v="0"/>
    <n v="400"/>
    <s v="Nabava"/>
    <s v="0078"/>
    <s v="Cordyceps Sinensis Extract 34-19 (Alpine)"/>
    <s v=""/>
  </r>
  <r>
    <s v="JANEZ-MRP"/>
    <s v=" "/>
    <x v="58"/>
    <s v="Novo"/>
    <b v="1"/>
    <m/>
    <d v="2026-12-25T00:00:00"/>
    <d v="2026-12-25T00:00:00"/>
    <d v="2026-12-25T00:00:00"/>
    <x v="58"/>
    <s v=""/>
    <n v="0"/>
    <b v="0"/>
    <n v="125"/>
    <s v="Nabava"/>
    <s v=""/>
    <s v="LIME POWDER FLAVOUR SD NATURAL 221620 (Frutol)"/>
    <s v=""/>
  </r>
  <r>
    <s v="JANEZ-MRP"/>
    <s v=" "/>
    <x v="59"/>
    <s v="Novo"/>
    <b v="1"/>
    <m/>
    <d v="2026-12-22T00:00:00"/>
    <d v="2026-12-22T00:00:00"/>
    <d v="2026-12-22T00:00:00"/>
    <x v="59"/>
    <s v=""/>
    <n v="0"/>
    <b v="0"/>
    <n v="25"/>
    <s v="Nabava"/>
    <s v=""/>
    <s v="ARTICHOKE EXTRACT 2-5% CYNARINE 88170 (Frutol)"/>
    <s v=""/>
  </r>
  <r>
    <s v="JANEZ-MRP"/>
    <s v=" "/>
    <x v="60"/>
    <s v="Novo"/>
    <b v="1"/>
    <m/>
    <d v="2026-12-02T00:00:00"/>
    <d v="2026-12-02T00:00:00"/>
    <d v="2026-12-02T00:00:00"/>
    <x v="60"/>
    <s v=""/>
    <n v="0"/>
    <b v="0"/>
    <n v="50"/>
    <s v="Nabava"/>
    <s v=""/>
    <s v="DANDELION ROOT 10-1 DRY EXTRACT (Alpine)"/>
    <s v=""/>
  </r>
  <r>
    <s v="JANEZ-MRP"/>
    <s v=" "/>
    <x v="61"/>
    <s v="Novo"/>
    <b v="1"/>
    <m/>
    <d v="2026-12-28T00:00:00"/>
    <d v="2026-12-28T00:00:00"/>
    <d v="2026-12-28T00:00:00"/>
    <x v="61"/>
    <s v=""/>
    <n v="0"/>
    <b v="0"/>
    <n v="25"/>
    <s v="Nabava"/>
    <s v=""/>
    <s v="Spirulina Powder 26-4 (Alpine)"/>
    <s v=""/>
  </r>
  <r>
    <s v="JANEZ-MRP"/>
    <s v=" "/>
    <x v="62"/>
    <s v="Novo"/>
    <b v="1"/>
    <m/>
    <d v="2026-12-28T00:00:00"/>
    <d v="2026-12-28T00:00:00"/>
    <d v="2026-12-28T00:00:00"/>
    <x v="62"/>
    <s v=""/>
    <n v="0"/>
    <b v="0"/>
    <n v="25"/>
    <s v="Nabava"/>
    <s v=""/>
    <s v="Japanese sophora extract-Quercetin 68-19 (Alpine)"/>
    <s v=""/>
  </r>
  <r>
    <s v="JANEZ-MRP"/>
    <s v=" "/>
    <x v="63"/>
    <s v="Novo"/>
    <b v="1"/>
    <m/>
    <d v="2026-12-28T00:00:00"/>
    <d v="2026-12-28T00:00:00"/>
    <d v="2026-12-28T00:00:00"/>
    <x v="63"/>
    <s v=""/>
    <n v="0"/>
    <b v="0"/>
    <n v="50"/>
    <s v="Nabava"/>
    <s v=""/>
    <s v="Black Elderberry Extract 69-19 (Alpine)"/>
    <s v=""/>
  </r>
  <r>
    <s v="JANEZ-MRP"/>
    <s v=" "/>
    <x v="64"/>
    <s v="Novo"/>
    <b v="1"/>
    <m/>
    <d v="2026-12-22T00:00:00"/>
    <d v="2026-12-22T00:00:00"/>
    <d v="2026-12-22T00:00:00"/>
    <x v="64"/>
    <s v=""/>
    <n v="0"/>
    <b v="0"/>
    <n v="1100"/>
    <s v="Nabava"/>
    <s v=""/>
    <s v="SODIUM BICARBONATE WITHOUT ACA (Palconutrifit)"/>
    <s v=""/>
  </r>
  <r>
    <s v="JANEZ-MRP"/>
    <s v=" "/>
    <x v="65"/>
    <s v="Novo"/>
    <b v="1"/>
    <m/>
    <d v="2026-05-13T00:00:00"/>
    <d v="2026-05-13T00:00:00"/>
    <d v="2026-05-13T00:00:00"/>
    <x v="65"/>
    <s v=""/>
    <n v="0"/>
    <b v="0"/>
    <n v="375"/>
    <s v="Nabava"/>
    <s v=""/>
    <s v="Calcium Citrat (Schmidt Pharma)"/>
    <s v=""/>
  </r>
  <r>
    <s v="JANEZ-MRP"/>
    <s v="Attention"/>
    <x v="66"/>
    <s v="Novo"/>
    <b v="0"/>
    <m/>
    <d v="2026-04-12T00:00:00"/>
    <d v="2026-05-12T00:00:00"/>
    <d v="2026-05-12T00:00:00"/>
    <x v="66"/>
    <s v=""/>
    <n v="0"/>
    <b v="0"/>
    <n v="10"/>
    <s v="Nabava"/>
    <s v="0001"/>
    <s v="Black tea 222568 (FRUTOL)"/>
    <s v=""/>
  </r>
  <r>
    <s v="JANEZ-MRP"/>
    <s v="Attention"/>
    <x v="67"/>
    <s v="Novo"/>
    <b v="0"/>
    <m/>
    <d v="2026-04-12T00:00:00"/>
    <d v="2026-05-12T00:00:00"/>
    <d v="2026-05-12T00:00:00"/>
    <x v="67"/>
    <s v=""/>
    <n v="0"/>
    <b v="0"/>
    <n v="20"/>
    <s v="Nabava"/>
    <s v="0001"/>
    <s v="Lemon 220001 (FRUTOL)"/>
    <s v=""/>
  </r>
  <r>
    <s v="JANEZ-MRP"/>
    <s v="Attention"/>
    <x v="68"/>
    <s v="Novo"/>
    <b v="0"/>
    <m/>
    <d v="2026-04-11T00:00:00"/>
    <d v="2026-05-11T00:00:00"/>
    <d v="2026-05-11T00:00:00"/>
    <x v="68"/>
    <s v=""/>
    <n v="0"/>
    <b v="0"/>
    <n v="10"/>
    <s v="Nabava"/>
    <s v="0001"/>
    <s v="Banana (221545 (FRUTOL)"/>
    <s v=""/>
  </r>
  <r>
    <s v="JANEZ-MRP"/>
    <s v="Attention"/>
    <x v="69"/>
    <s v="Novo"/>
    <b v="0"/>
    <m/>
    <d v="2026-04-11T00:00:00"/>
    <d v="2026-05-11T00:00:00"/>
    <d v="2026-05-11T00:00:00"/>
    <x v="69"/>
    <s v=""/>
    <n v="0"/>
    <b v="0"/>
    <n v="10"/>
    <s v="Nabava"/>
    <s v="0001"/>
    <s v="Caramel 221503 (FRUTOL)"/>
    <s v=""/>
  </r>
  <r>
    <s v="JANEZ-MRP"/>
    <s v="Attention"/>
    <x v="70"/>
    <s v="Novo"/>
    <b v="0"/>
    <m/>
    <d v="2026-03-29T00:00:00"/>
    <d v="2026-04-28T00:00:00"/>
    <d v="2026-04-28T00:00:00"/>
    <x v="70"/>
    <s v=""/>
    <n v="0"/>
    <b v="0"/>
    <n v="10"/>
    <s v="Nabava"/>
    <s v="0001"/>
    <s v="Peach 221549 (FRUTOL)"/>
    <s v=""/>
  </r>
  <r>
    <s v="JANEZ-MRP"/>
    <s v=" "/>
    <x v="71"/>
    <s v="Novo"/>
    <b v="0"/>
    <m/>
    <d v="2026-05-19T00:00:00"/>
    <d v="2026-06-18T00:00:00"/>
    <d v="2026-06-18T00:00:00"/>
    <x v="71"/>
    <s v=""/>
    <n v="0"/>
    <b v="0"/>
    <n v="10"/>
    <s v="Nabava"/>
    <s v="0001"/>
    <s v="Green Apple 222072 (FRTOL)"/>
    <s v=""/>
  </r>
  <r>
    <s v="JANEZ-MRP"/>
    <s v=" "/>
    <x v="72"/>
    <s v="Novo"/>
    <b v="0"/>
    <m/>
    <d v="2026-05-16T00:00:00"/>
    <d v="2026-06-15T00:00:00"/>
    <d v="2026-06-15T00:00:00"/>
    <x v="72"/>
    <s v=""/>
    <n v="0"/>
    <b v="0"/>
    <n v="60"/>
    <s v="Nabava"/>
    <s v="0001"/>
    <s v="Lemon Lime 222180 (FRUTOL)"/>
    <s v=""/>
  </r>
  <r>
    <s v="JANEZ-MRP"/>
    <s v="Exception"/>
    <x v="73"/>
    <s v="Novo"/>
    <b v="0"/>
    <m/>
    <d v="2026-01-30T00:00:00"/>
    <d v="2026-03-01T00:00:00"/>
    <d v="2026-03-01T00:00:00"/>
    <x v="73"/>
    <s v=""/>
    <n v="0"/>
    <b v="0"/>
    <n v="10"/>
    <s v="Nabava"/>
    <s v="0001"/>
    <s v="Apricot flavour 222074 (FRUTOL)"/>
    <s v=""/>
  </r>
  <r>
    <s v="JANEZ-MRP"/>
    <s v=" "/>
    <x v="74"/>
    <s v="Novo"/>
    <b v="1"/>
    <m/>
    <d v="2026-11-22T00:00:00"/>
    <d v="2026-12-22T00:00:00"/>
    <d v="2026-12-22T00:00:00"/>
    <x v="74"/>
    <s v=""/>
    <n v="0"/>
    <b v="0"/>
    <n v="1500000"/>
    <s v="Nabava"/>
    <s v="0035"/>
    <s v="Cps HX HPMC &quot;00&quot; transparent 105mg (ACG)"/>
    <s v=""/>
  </r>
  <r>
    <s v="JANEZ-MRP"/>
    <s v=" "/>
    <x v="75"/>
    <s v="Novo"/>
    <b v="1"/>
    <m/>
    <d v="2026-11-02T00:00:00"/>
    <d v="2026-12-02T00:00:00"/>
    <d v="2026-12-02T00:00:00"/>
    <x v="75"/>
    <s v=""/>
    <n v="0"/>
    <b v="0"/>
    <n v="2700000"/>
    <s v="Nabava"/>
    <s v="0006"/>
    <s v="A1529 HPMC#0 98mg Capsules (Pharmavit)_new"/>
    <s v=""/>
  </r>
  <r>
    <s v="JANEZ-MRP"/>
    <s v=" "/>
    <x v="75"/>
    <s v="Novo"/>
    <b v="1"/>
    <m/>
    <d v="2026-11-22T00:00:00"/>
    <d v="2026-12-22T00:00:00"/>
    <d v="2026-12-22T00:00:00"/>
    <x v="75"/>
    <s v=""/>
    <n v="0"/>
    <b v="0"/>
    <n v="900000"/>
    <s v="Nabava"/>
    <s v="0006"/>
    <s v="A1529 HPMC#0 98mg Capsules (Pharmavit)_new"/>
    <s v=""/>
  </r>
  <r>
    <s v="JANEZ-MRP"/>
    <s v=" "/>
    <x v="75"/>
    <s v="Novo"/>
    <b v="1"/>
    <m/>
    <d v="2026-11-28T00:00:00"/>
    <d v="2026-12-28T00:00:00"/>
    <d v="2026-12-28T00:00:00"/>
    <x v="75"/>
    <s v=""/>
    <n v="0"/>
    <b v="0"/>
    <n v="300000"/>
    <s v="Nabava"/>
    <s v="0006"/>
    <s v="A1529 HPMC#0 98mg Capsules (Pharmavit)_new"/>
    <s v=""/>
  </r>
  <r>
    <s v="JANEZ-MRP"/>
    <s v=" "/>
    <x v="75"/>
    <s v="Novo"/>
    <b v="1"/>
    <m/>
    <d v="2026-11-29T00:00:00"/>
    <d v="2026-12-29T00:00:00"/>
    <d v="2026-12-29T00:00:00"/>
    <x v="75"/>
    <s v=""/>
    <n v="0"/>
    <b v="0"/>
    <n v="150000"/>
    <s v="Nabava"/>
    <s v="0006"/>
    <s v="A1529 HPMC#0 98mg Capsules (Pharmavit)_new"/>
    <s v=""/>
  </r>
  <r>
    <s v="JANEZ-MRP"/>
    <s v=" "/>
    <x v="76"/>
    <s v="Novo"/>
    <b v="1"/>
    <m/>
    <d v="2026-10-27T00:00:00"/>
    <d v="2026-11-26T00:00:00"/>
    <d v="2026-11-26T00:00:00"/>
    <x v="76"/>
    <s v=""/>
    <n v="0"/>
    <b v="0"/>
    <n v="3150000"/>
    <s v="Nabava"/>
    <s v="0006"/>
    <s v="A1528 HPMC#00 124mg Capsules (Pharmavit)_new"/>
    <s v=""/>
  </r>
  <r>
    <s v="JANEZ-MRP"/>
    <s v=" "/>
    <x v="76"/>
    <s v="Novo"/>
    <b v="1"/>
    <m/>
    <d v="2026-11-18T00:00:00"/>
    <d v="2026-12-18T00:00:00"/>
    <d v="2026-12-18T00:00:00"/>
    <x v="76"/>
    <s v=""/>
    <n v="0"/>
    <b v="0"/>
    <n v="900000"/>
    <s v="Nabava"/>
    <s v="0006"/>
    <s v="A1528 HPMC#00 124mg Capsules (Pharmavit)_new"/>
    <s v=""/>
  </r>
  <r>
    <s v="JANEZ-MRP"/>
    <s v=" "/>
    <x v="76"/>
    <s v="Novo"/>
    <b v="1"/>
    <m/>
    <d v="2026-11-21T00:00:00"/>
    <d v="2026-12-21T00:00:00"/>
    <d v="2026-12-21T00:00:00"/>
    <x v="76"/>
    <s v=""/>
    <n v="0"/>
    <b v="0"/>
    <n v="2550000"/>
    <s v="Nabava"/>
    <s v="0006"/>
    <s v="A1528 HPMC#00 124mg Capsules (Pharmavit)_new"/>
    <s v=""/>
  </r>
  <r>
    <s v="JANEZ-MRP"/>
    <s v=" "/>
    <x v="76"/>
    <s v="Novo"/>
    <b v="1"/>
    <m/>
    <d v="2026-11-22T00:00:00"/>
    <d v="2026-12-22T00:00:00"/>
    <d v="2026-12-22T00:00:00"/>
    <x v="76"/>
    <s v=""/>
    <n v="0"/>
    <b v="0"/>
    <n v="840000"/>
    <s v="Nabava"/>
    <s v="0006"/>
    <s v="A1528 HPMC#00 124mg Capsules (Pharmavit)_new"/>
    <s v=""/>
  </r>
  <r>
    <s v="JANEZ-MRP"/>
    <s v=" "/>
    <x v="76"/>
    <s v="Novo"/>
    <b v="1"/>
    <m/>
    <d v="2026-11-24T00:00:00"/>
    <d v="2026-12-24T00:00:00"/>
    <d v="2026-12-24T00:00:00"/>
    <x v="76"/>
    <s v=""/>
    <n v="0"/>
    <b v="0"/>
    <n v="630000"/>
    <s v="Nabava"/>
    <s v="0006"/>
    <s v="A1528 HPMC#00 124mg Capsules (Pharmavit)_new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23503-1A47-4FB0-ADE2-E7EA803D8FBE}" name="Vrtilna tabela1" cacheId="0" applyNumberFormats="0" applyBorderFormats="0" applyFontFormats="0" applyPatternFormats="0" applyAlignmentFormats="0" applyWidthHeightFormats="1" dataCaption="Vrednosti" updatedVersion="8" minRefreshableVersion="3" useAutoFormatting="1" itemPrintTitles="1" createdVersion="8" indent="0" outline="1" outlineData="1" multipleFieldFilters="0">
  <location ref="A3:B158" firstHeaderRow="1" firstDataRow="1" firstDataCol="1"/>
  <pivotFields count="18">
    <pivotField showAll="0"/>
    <pivotField showAll="0"/>
    <pivotField axis="axisRow" showAll="0" defaultSubtotal="0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</items>
    </pivotField>
    <pivotField showAll="0"/>
    <pivotField showAll="0"/>
    <pivotField showAll="0"/>
    <pivotField numFmtId="14" showAll="0"/>
    <pivotField numFmtId="14" showAll="0"/>
    <pivotField numFmtId="14" showAll="0"/>
    <pivotField axis="axisRow" showAll="0">
      <items count="78">
        <item x="17"/>
        <item x="31"/>
        <item x="23"/>
        <item x="76"/>
        <item x="75"/>
        <item x="45"/>
        <item x="42"/>
        <item x="73"/>
        <item x="36"/>
        <item x="27"/>
        <item x="59"/>
        <item x="21"/>
        <item x="48"/>
        <item x="68"/>
        <item x="2"/>
        <item x="24"/>
        <item x="19"/>
        <item x="63"/>
        <item x="49"/>
        <item x="66"/>
        <item x="52"/>
        <item x="44"/>
        <item x="11"/>
        <item x="65"/>
        <item x="15"/>
        <item x="69"/>
        <item x="9"/>
        <item x="33"/>
        <item x="40"/>
        <item x="14"/>
        <item x="41"/>
        <item x="57"/>
        <item x="74"/>
        <item x="18"/>
        <item x="25"/>
        <item x="60"/>
        <item x="51"/>
        <item x="5"/>
        <item x="46"/>
        <item x="35"/>
        <item x="16"/>
        <item x="37"/>
        <item x="10"/>
        <item x="71"/>
        <item x="13"/>
        <item x="62"/>
        <item x="7"/>
        <item x="0"/>
        <item x="39"/>
        <item x="22"/>
        <item x="67"/>
        <item x="72"/>
        <item x="58"/>
        <item x="34"/>
        <item x="38"/>
        <item x="3"/>
        <item x="30"/>
        <item x="1"/>
        <item x="56"/>
        <item x="12"/>
        <item x="47"/>
        <item x="4"/>
        <item x="26"/>
        <item x="43"/>
        <item x="70"/>
        <item x="28"/>
        <item x="53"/>
        <item x="20"/>
        <item x="6"/>
        <item x="32"/>
        <item x="54"/>
        <item x="64"/>
        <item x="61"/>
        <item x="50"/>
        <item x="8"/>
        <item x="55"/>
        <item x="29"/>
        <item t="default"/>
      </items>
    </pivotField>
    <pivotField showAll="0"/>
    <pivotField numFmtId="164" showAll="0"/>
    <pivotField showAll="0"/>
    <pivotField dataField="1" numFmtId="164" showAll="0"/>
    <pivotField showAll="0"/>
    <pivotField showAll="0"/>
    <pivotField showAll="0"/>
    <pivotField showAll="0"/>
  </pivotFields>
  <rowFields count="2">
    <field x="2"/>
    <field x="9"/>
  </rowFields>
  <rowItems count="155">
    <i>
      <x/>
    </i>
    <i r="1">
      <x v="47"/>
    </i>
    <i>
      <x v="1"/>
    </i>
    <i r="1">
      <x v="57"/>
    </i>
    <i>
      <x v="2"/>
    </i>
    <i r="1">
      <x v="14"/>
    </i>
    <i>
      <x v="3"/>
    </i>
    <i r="1">
      <x v="55"/>
    </i>
    <i>
      <x v="4"/>
    </i>
    <i r="1">
      <x v="61"/>
    </i>
    <i>
      <x v="5"/>
    </i>
    <i r="1">
      <x v="37"/>
    </i>
    <i>
      <x v="6"/>
    </i>
    <i r="1">
      <x v="68"/>
    </i>
    <i>
      <x v="7"/>
    </i>
    <i r="1">
      <x v="46"/>
    </i>
    <i>
      <x v="8"/>
    </i>
    <i r="1">
      <x v="74"/>
    </i>
    <i>
      <x v="9"/>
    </i>
    <i r="1">
      <x v="26"/>
    </i>
    <i>
      <x v="10"/>
    </i>
    <i r="1">
      <x v="42"/>
    </i>
    <i>
      <x v="11"/>
    </i>
    <i r="1">
      <x v="22"/>
    </i>
    <i>
      <x v="12"/>
    </i>
    <i r="1">
      <x v="59"/>
    </i>
    <i>
      <x v="13"/>
    </i>
    <i r="1">
      <x v="44"/>
    </i>
    <i>
      <x v="14"/>
    </i>
    <i r="1">
      <x v="29"/>
    </i>
    <i>
      <x v="15"/>
    </i>
    <i r="1">
      <x v="24"/>
    </i>
    <i>
      <x v="16"/>
    </i>
    <i r="1">
      <x v="40"/>
    </i>
    <i>
      <x v="17"/>
    </i>
    <i r="1">
      <x/>
    </i>
    <i>
      <x v="18"/>
    </i>
    <i r="1">
      <x v="33"/>
    </i>
    <i>
      <x v="19"/>
    </i>
    <i r="1">
      <x v="16"/>
    </i>
    <i>
      <x v="20"/>
    </i>
    <i r="1">
      <x v="67"/>
    </i>
    <i>
      <x v="21"/>
    </i>
    <i r="1">
      <x v="11"/>
    </i>
    <i>
      <x v="22"/>
    </i>
    <i r="1">
      <x v="49"/>
    </i>
    <i>
      <x v="23"/>
    </i>
    <i r="1">
      <x v="2"/>
    </i>
    <i>
      <x v="24"/>
    </i>
    <i r="1">
      <x v="15"/>
    </i>
    <i>
      <x v="25"/>
    </i>
    <i r="1">
      <x v="34"/>
    </i>
    <i>
      <x v="26"/>
    </i>
    <i r="1">
      <x v="62"/>
    </i>
    <i>
      <x v="27"/>
    </i>
    <i r="1">
      <x v="9"/>
    </i>
    <i>
      <x v="28"/>
    </i>
    <i r="1">
      <x v="65"/>
    </i>
    <i>
      <x v="29"/>
    </i>
    <i r="1">
      <x v="76"/>
    </i>
    <i>
      <x v="30"/>
    </i>
    <i r="1">
      <x v="56"/>
    </i>
    <i>
      <x v="31"/>
    </i>
    <i r="1">
      <x v="1"/>
    </i>
    <i>
      <x v="32"/>
    </i>
    <i r="1">
      <x v="69"/>
    </i>
    <i>
      <x v="33"/>
    </i>
    <i r="1">
      <x v="27"/>
    </i>
    <i>
      <x v="34"/>
    </i>
    <i r="1">
      <x v="53"/>
    </i>
    <i>
      <x v="35"/>
    </i>
    <i r="1">
      <x v="39"/>
    </i>
    <i>
      <x v="36"/>
    </i>
    <i r="1">
      <x v="8"/>
    </i>
    <i>
      <x v="37"/>
    </i>
    <i r="1">
      <x v="41"/>
    </i>
    <i>
      <x v="38"/>
    </i>
    <i r="1">
      <x v="54"/>
    </i>
    <i>
      <x v="39"/>
    </i>
    <i r="1">
      <x v="48"/>
    </i>
    <i>
      <x v="40"/>
    </i>
    <i r="1">
      <x v="28"/>
    </i>
    <i>
      <x v="41"/>
    </i>
    <i r="1">
      <x v="30"/>
    </i>
    <i>
      <x v="42"/>
    </i>
    <i r="1">
      <x v="6"/>
    </i>
    <i>
      <x v="43"/>
    </i>
    <i r="1">
      <x v="63"/>
    </i>
    <i>
      <x v="44"/>
    </i>
    <i r="1">
      <x v="21"/>
    </i>
    <i>
      <x v="45"/>
    </i>
    <i r="1">
      <x v="5"/>
    </i>
    <i>
      <x v="46"/>
    </i>
    <i r="1">
      <x v="38"/>
    </i>
    <i>
      <x v="47"/>
    </i>
    <i r="1">
      <x v="60"/>
    </i>
    <i>
      <x v="48"/>
    </i>
    <i r="1">
      <x v="12"/>
    </i>
    <i>
      <x v="49"/>
    </i>
    <i r="1">
      <x v="18"/>
    </i>
    <i>
      <x v="50"/>
    </i>
    <i r="1">
      <x v="73"/>
    </i>
    <i>
      <x v="51"/>
    </i>
    <i r="1">
      <x v="36"/>
    </i>
    <i>
      <x v="52"/>
    </i>
    <i r="1">
      <x v="20"/>
    </i>
    <i>
      <x v="53"/>
    </i>
    <i r="1">
      <x v="66"/>
    </i>
    <i>
      <x v="54"/>
    </i>
    <i r="1">
      <x v="70"/>
    </i>
    <i>
      <x v="55"/>
    </i>
    <i r="1">
      <x v="75"/>
    </i>
    <i>
      <x v="56"/>
    </i>
    <i r="1">
      <x v="58"/>
    </i>
    <i>
      <x v="57"/>
    </i>
    <i r="1">
      <x v="31"/>
    </i>
    <i>
      <x v="58"/>
    </i>
    <i r="1">
      <x v="52"/>
    </i>
    <i>
      <x v="59"/>
    </i>
    <i r="1">
      <x v="10"/>
    </i>
    <i>
      <x v="60"/>
    </i>
    <i r="1">
      <x v="35"/>
    </i>
    <i>
      <x v="61"/>
    </i>
    <i r="1">
      <x v="72"/>
    </i>
    <i>
      <x v="62"/>
    </i>
    <i r="1">
      <x v="45"/>
    </i>
    <i>
      <x v="63"/>
    </i>
    <i r="1">
      <x v="17"/>
    </i>
    <i>
      <x v="64"/>
    </i>
    <i r="1">
      <x v="71"/>
    </i>
    <i>
      <x v="65"/>
    </i>
    <i r="1">
      <x v="23"/>
    </i>
    <i>
      <x v="66"/>
    </i>
    <i r="1">
      <x v="19"/>
    </i>
    <i>
      <x v="67"/>
    </i>
    <i r="1">
      <x v="50"/>
    </i>
    <i>
      <x v="68"/>
    </i>
    <i r="1">
      <x v="13"/>
    </i>
    <i>
      <x v="69"/>
    </i>
    <i r="1">
      <x v="25"/>
    </i>
    <i>
      <x v="70"/>
    </i>
    <i r="1">
      <x v="64"/>
    </i>
    <i>
      <x v="71"/>
    </i>
    <i r="1">
      <x v="43"/>
    </i>
    <i>
      <x v="72"/>
    </i>
    <i r="1">
      <x v="51"/>
    </i>
    <i>
      <x v="73"/>
    </i>
    <i r="1">
      <x v="7"/>
    </i>
    <i>
      <x v="74"/>
    </i>
    <i r="1">
      <x v="32"/>
    </i>
    <i>
      <x v="75"/>
    </i>
    <i r="1">
      <x v="4"/>
    </i>
    <i>
      <x v="76"/>
    </i>
    <i r="1">
      <x v="3"/>
    </i>
    <i t="grand">
      <x/>
    </i>
  </rowItems>
  <colItems count="1">
    <i/>
  </colItems>
  <dataFields count="1">
    <dataField name="Vsota od Količina" fld="1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65D7DB-5376-4A87-AC6C-033C8D0779CF}" name="Table15" displayName="Table15" ref="A1:Q439" totalsRowShown="0">
  <autoFilter ref="A1:Q439" xr:uid="{00000000-0009-0000-0100-000001000000}"/>
  <tableColumns count="17">
    <tableColumn id="1" xr3:uid="{DE76A861-A45E-449A-BC7A-24F018D4DB97}" name="Št."/>
    <tableColumn id="2" xr3:uid="{5FE58BA2-35BE-4FE7-A786-AC141A31F0A4}" name="Opis"/>
    <tableColumn id="3" xr3:uid="{19C5C709-F446-4AC2-9ACA-7098617AECD6}" name="Zaloga"/>
    <tableColumn id="4" xr3:uid="{7FEB2E6B-4C1A-4FE5-9B75-19CD49E67B22}" name="Obstajajo nadomestki"/>
    <tableColumn id="5" xr3:uid="{7D3B876F-95EC-487A-A4E6-CC23F32CD95C}" name="Kosovnica sestavljanja">
      <calculatedColumnFormula>FALSE()</calculatedColumnFormula>
    </tableColumn>
    <tableColumn id="6" xr3:uid="{D6E2F6B4-D486-4562-B033-D485738AD829}" name="Št. proizvodne kosovnice"/>
    <tableColumn id="7" xr3:uid="{E401CFF2-ED77-43BD-A023-C7991638BCA4}" name="Knjižna skupina zaloge"/>
    <tableColumn id="8" xr3:uid="{BF5B2E30-61ED-4D8C-92D4-C300A93460FE}" name="Št. proizvodnega postopka"/>
    <tableColumn id="9" xr3:uid="{4F4EA904-82A2-4DFC-8212-8E24D8935E11}" name="Osnovna merska enota"/>
    <tableColumn id="10" xr3:uid="{5BBA5A8C-62F4-4A79-8DF0-EE0BCD81CC54}" name="Strošek je popravljen"/>
    <tableColumn id="11" xr3:uid="{ECDBBEA9-4B57-46BD-82B5-CD037922F64D}" name="Strošek enote"/>
    <tableColumn id="12" xr3:uid="{A253B338-9DBE-4D85-9FEB-C0F49FF1CF08}" name="Cena enote"/>
    <tableColumn id="13" xr3:uid="{1CDB82A1-F3BE-4C7A-9879-8C175486BC87}" name="Carinska tarifa"/>
    <tableColumn id="14" xr3:uid="{B1DF3935-4EEB-4FEF-9607-989F4DE2CA54}" name="Št. dobavitelja"/>
    <tableColumn id="15" xr3:uid="{836B6248-54A6-4CD8-A340-8B9B06A7409F}" name="Sistem dopolnitve zalog"/>
    <tableColumn id="16" xr3:uid="{ED06DFA5-22E9-4528-B585-76F1DF3F12E6}" name="Način knjiženja porabe"/>
    <tableColumn id="17" xr3:uid="{FA16B0EB-2AD3-4333-B27D-8D7397669EE6}" name="Privzeta predloga odlog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087930-FC64-4DCE-B527-12C29E3FE3E4}" name="Table5" displayName="Table5" ref="A3:L116" totalsRowShown="0">
  <autoFilter ref="A3:L116" xr:uid="{00000000-0009-0000-0100-000005000000}"/>
  <tableColumns count="12">
    <tableColumn id="1" xr3:uid="{0289CF9C-B76F-4BF3-8EA2-DDC787D416C3}" name="Vrsta"/>
    <tableColumn id="2" xr3:uid="{1A947FA0-780C-45CD-9A9C-26EEE13B5F5C}" name="Št."/>
    <tableColumn id="3" xr3:uid="{F3B5AE50-0519-4946-BC6C-AE03B952C5E2}" name="Šifra različice"/>
    <tableColumn id="4" xr3:uid="{A38F6233-17BA-4D05-BAEE-B95EFA73ED05}" name="Vrsta nadomestka"/>
    <tableColumn id="5" xr3:uid="{2C3EB9A3-3502-457C-9B6C-5127A5B16137}" name="Št. nadomestka"/>
    <tableColumn id="6" xr3:uid="{51595230-4744-49D3-BF9F-85B93CD9DADA}" name="Šifra različice nadomestka"/>
    <tableColumn id="7" xr3:uid="{A0AD7BE2-2D21-40BE-A4CC-7DB434D1E905}" name="Opis"/>
    <tableColumn id="8" xr3:uid="{D56A266D-E3CB-461B-A159-95600B8C89AB}" name="Zaloga"/>
    <tableColumn id="9" xr3:uid="{E9089AE5-867C-4D3C-96BB-A9633BAEE1C6}" name="Izmenljivo"/>
    <tableColumn id="10" xr3:uid="{0E17F4F7-2814-487D-9CD7-03F99D85100F}" name="Nivo odnosov"/>
    <tableColumn id="11" xr3:uid="{7B779F84-303F-4174-AE6D-652A28C32B70}" name="Količina na voljo na datum dobave"/>
    <tableColumn id="12" xr3:uid="{41ECFD67-68A5-4C58-8820-AC5831A14AF7}" name="Datum dobav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96" totalsRowShown="0">
  <autoFilter ref="A1:R96" xr:uid="{00000000-0009-0000-0100-000001000000}"/>
  <tableColumns count="18">
    <tableColumn id="1" xr3:uid="{00000000-0010-0000-0000-000001000000}" name="Ime"/>
    <tableColumn id="2" xr3:uid="{00000000-0010-0000-0000-000002000000}" name="Opozorilo"/>
    <tableColumn id="3" xr3:uid="{00000000-0010-0000-0000-000003000000}" name="Št."/>
    <tableColumn id="4" xr3:uid="{00000000-0010-0000-0000-000004000000}" name="Sporočilo o dejanju"/>
    <tableColumn id="5" xr3:uid="{00000000-0010-0000-0000-000005000000}" name="Sprejmi sporočilo o dejanju"/>
    <tableColumn id="6" xr3:uid="{00000000-0010-0000-0000-000006000000}" name="Prvotni datum zapadlosti"/>
    <tableColumn id="7" xr3:uid="{00000000-0010-0000-0000-000007000000}" name="Datum naloga"/>
    <tableColumn id="8" xr3:uid="{00000000-0010-0000-0000-000008000000}" name="Datum zapadlosti"/>
    <tableColumn id="9" xr3:uid="{00000000-0010-0000-0000-000009000000}" name="Končni datum"/>
    <tableColumn id="10" xr3:uid="{00000000-0010-0000-0000-00000A000000}" name="Opis"/>
    <tableColumn id="11" xr3:uid="{00000000-0010-0000-0000-00000B000000}" name="Št. proizvodne kosovnice"/>
    <tableColumn id="12" xr3:uid="{00000000-0010-0000-0000-00000C000000}" name="Prvotna količina"/>
    <tableColumn id="13" xr3:uid="{00000000-0010-0000-0000-00000D000000}" name="Nalog MPS"/>
    <tableColumn id="14" xr3:uid="{00000000-0010-0000-0000-00000E000000}" name="Količina"/>
    <tableColumn id="15" xr3:uid="{00000000-0010-0000-0000-00000F000000}" name="Vrsta referenčnega naloga"/>
    <tableColumn id="16" xr3:uid="{00000000-0010-0000-0000-000010000000}" name="Št. dobavitelja"/>
    <tableColumn id="17" xr3:uid="{00000000-0010-0000-0000-000011000000}" name="ItemDescription"/>
    <tableColumn id="18" xr3:uid="{00000000-0010-0000-0000-000012000000}" name="Opis proizvodnega postopk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DCA932-8A18-4FDA-82F6-A96F05E633BC}" name="PreoblikovanaTabela" displayName="PreoblikovanaTabela" ref="A1:Q78" totalsRowShown="0" headerRowDxfId="16">
  <autoFilter ref="A1:Q78" xr:uid="{BADCA932-8A18-4FDA-82F6-A96F05E633BC}"/>
  <tableColumns count="17">
    <tableColumn id="1" xr3:uid="{04A2A374-62F6-4854-B96B-579E8C198162}" name="Št." dataDxfId="15"/>
    <tableColumn id="2" xr3:uid="{C9E4EC3E-5E31-490C-94EB-3A6F1B81822D}" name="Opis"/>
    <tableColumn id="4" xr3:uid="{275FB3A4-18AE-4239-8ABB-E080F6F3C3A4}" name="Zaloga" dataDxfId="14"/>
    <tableColumn id="17" xr3:uid="{0B6955AF-E2E9-4C8D-8220-9C103FFBC78A}" name="Nab. cena" dataDxfId="13">
      <calculatedColumnFormula>IFERROR(VLOOKUP(TEXT(A2,"000000"),Artikli!$A:$K,11,FALSE),"")</calculatedColumnFormula>
    </tableColumn>
    <tableColumn id="3" xr3:uid="{C1CFBD74-EE92-42C3-83D5-326527933BD6}" name="Količina za nabavo" dataDxfId="12"/>
    <tableColumn id="5" xr3:uid="{BCF15442-9522-4F8D-A3AD-642AB23425A3}" name="Nadomestek 1 - Št." dataDxfId="11"/>
    <tableColumn id="6" xr3:uid="{88287236-473C-4533-A2BF-D5FA94B447E9}" name="Nadomestek 1 - Opis" dataDxfId="10"/>
    <tableColumn id="7" xr3:uid="{F6629D22-A6AF-4456-B8AC-FDEB8CF7F349}" name="Nadomestek 1 - Zaloga" dataDxfId="9"/>
    <tableColumn id="16" xr3:uid="{4549F842-2F01-41BB-9BC4-821431624B69}" name="Nadomestek 1 - Nab. cena" dataDxfId="8">
      <calculatedColumnFormula>IFERROR(VLOOKUP(TEXT(F2,"000000"),Artikli!$A:$K,11,FALSE),"")</calculatedColumnFormula>
    </tableColumn>
    <tableColumn id="8" xr3:uid="{1DA6F756-E2D6-41CB-8207-F97D19B2961E}" name="Nadomestek 2 - Št." dataDxfId="7"/>
    <tableColumn id="9" xr3:uid="{F165FF93-7083-49B1-9280-04A1356FD380}" name="Nadomestek 2 - Opis" dataDxfId="6"/>
    <tableColumn id="10" xr3:uid="{D6A4F27E-6808-4747-B459-44BB7ACDDDE9}" name="Nadomestek 2 - Zaloga" dataDxfId="5"/>
    <tableColumn id="15" xr3:uid="{DFB4F35E-3B8D-4505-BE32-CC7AA37F1908}" name="Nadomestek 2 - Nab. cena" dataDxfId="4">
      <calculatedColumnFormula>IFERROR(VLOOKUP(TEXT(J2,"000000"),Artikli!$A:$K,11,FALSE),"")</calculatedColumnFormula>
    </tableColumn>
    <tableColumn id="11" xr3:uid="{236F035D-2F5E-4869-8083-E12AD6F284A5}" name="Nadomestek 3 - Št." dataDxfId="3"/>
    <tableColumn id="12" xr3:uid="{FCE37742-A1F3-4B38-9758-079E14BC23D3}" name="Nadomestek 3 - Opis" dataDxfId="2"/>
    <tableColumn id="13" xr3:uid="{C2B98AD1-A47E-4320-9639-BE32F01A2D90}" name="Nadomestek 3 - Zaloga" dataDxfId="1"/>
    <tableColumn id="14" xr3:uid="{15C08928-D373-4F83-BFA2-3666117634A0}" name="Nadomestek 3 - Nab. cena" dataDxfId="0">
      <calculatedColumnFormula>IFERROR(VLOOKUP(TEXT(N2,"000000"),Artikli!$A:$K,11,FALSE),"")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4-23T18:36:17.07" personId="{476E3B3C-BD4C-4CEB-A786-69C183065384}" id="{59AB0382-1851-4010-8445-E5FAD52284C1}">
    <text>Nadomestek ni upoštevan!!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52DF-D873-40F5-8717-57A7DFA2ED3D}">
  <dimension ref="A1:Q439"/>
  <sheetViews>
    <sheetView workbookViewId="0">
      <pane ySplit="1" topLeftCell="A32" activePane="bottomLeft" state="frozen"/>
      <selection pane="bottomLeft" activeCell="K35" sqref="K35"/>
    </sheetView>
  </sheetViews>
  <sheetFormatPr defaultRowHeight="15" x14ac:dyDescent="0.25"/>
  <cols>
    <col min="1" max="1" width="7" bestFit="1" customWidth="1"/>
    <col min="2" max="2" width="6.7109375" bestFit="1" customWidth="1"/>
    <col min="3" max="3" width="8.42578125" bestFit="1" customWidth="1"/>
    <col min="4" max="4" width="21.85546875" bestFit="1" customWidth="1"/>
    <col min="5" max="5" width="22.28515625" bestFit="1" customWidth="1"/>
    <col min="6" max="6" width="24.42578125" bestFit="1" customWidth="1"/>
    <col min="7" max="7" width="22.42578125" bestFit="1" customWidth="1"/>
    <col min="8" max="8" width="26" bestFit="1" customWidth="1"/>
    <col min="9" max="9" width="22.85546875" bestFit="1" customWidth="1"/>
    <col min="10" max="10" width="21.140625" bestFit="1" customWidth="1"/>
    <col min="11" max="11" width="14.85546875" bestFit="1" customWidth="1"/>
    <col min="12" max="12" width="12.7109375" bestFit="1" customWidth="1"/>
    <col min="13" max="13" width="15.42578125" bestFit="1" customWidth="1"/>
    <col min="14" max="14" width="15.28515625" bestFit="1" customWidth="1"/>
    <col min="15" max="15" width="23.5703125" bestFit="1" customWidth="1"/>
    <col min="16" max="16" width="22.7109375" bestFit="1" customWidth="1"/>
    <col min="17" max="17" width="24.42578125" bestFit="1" customWidth="1"/>
  </cols>
  <sheetData>
    <row r="1" spans="1:17" x14ac:dyDescent="0.25">
      <c r="A1" s="1" t="s">
        <v>2</v>
      </c>
      <c r="B1" s="1" t="s">
        <v>9</v>
      </c>
      <c r="C1" s="1" t="s">
        <v>198</v>
      </c>
      <c r="D1" s="1" t="s">
        <v>352</v>
      </c>
      <c r="E1" s="1" t="s">
        <v>353</v>
      </c>
      <c r="F1" s="1" t="s">
        <v>10</v>
      </c>
      <c r="G1" s="1" t="s">
        <v>354</v>
      </c>
      <c r="H1" s="1" t="s">
        <v>355</v>
      </c>
      <c r="I1" s="1" t="s">
        <v>356</v>
      </c>
      <c r="J1" s="1" t="s">
        <v>357</v>
      </c>
      <c r="K1" s="1" t="s">
        <v>358</v>
      </c>
      <c r="L1" s="1" t="s">
        <v>359</v>
      </c>
      <c r="M1" s="1" t="s">
        <v>360</v>
      </c>
      <c r="N1" s="1" t="s">
        <v>15</v>
      </c>
      <c r="O1" s="1" t="s">
        <v>361</v>
      </c>
      <c r="P1" s="1" t="s">
        <v>362</v>
      </c>
      <c r="Q1" s="1" t="s">
        <v>363</v>
      </c>
    </row>
    <row r="2" spans="1:17" x14ac:dyDescent="0.25">
      <c r="A2" s="2" t="s">
        <v>204</v>
      </c>
      <c r="B2" s="2" t="s">
        <v>305</v>
      </c>
      <c r="C2" s="5">
        <v>0</v>
      </c>
      <c r="D2" s="3" t="b">
        <f>TRUE()</f>
        <v>1</v>
      </c>
      <c r="E2" s="3" t="b">
        <f>FALSE()</f>
        <v>0</v>
      </c>
      <c r="F2" s="2" t="s">
        <v>23</v>
      </c>
      <c r="G2" s="2" t="s">
        <v>364</v>
      </c>
      <c r="H2" s="2" t="s">
        <v>23</v>
      </c>
      <c r="I2" s="2" t="s">
        <v>365</v>
      </c>
      <c r="J2" s="3" t="b">
        <f>TRUE()</f>
        <v>1</v>
      </c>
      <c r="K2" s="10">
        <v>0</v>
      </c>
      <c r="L2" s="10">
        <v>0</v>
      </c>
      <c r="M2" s="2" t="s">
        <v>366</v>
      </c>
      <c r="N2" s="2" t="s">
        <v>164</v>
      </c>
      <c r="O2" s="2" t="s">
        <v>24</v>
      </c>
      <c r="P2" s="2" t="s">
        <v>367</v>
      </c>
      <c r="Q2" s="2" t="s">
        <v>23</v>
      </c>
    </row>
    <row r="3" spans="1:17" x14ac:dyDescent="0.25">
      <c r="A3" s="2" t="s">
        <v>20</v>
      </c>
      <c r="B3" s="2" t="s">
        <v>22</v>
      </c>
      <c r="C3" s="5">
        <v>0</v>
      </c>
      <c r="D3" s="3" t="b">
        <f>TRUE()</f>
        <v>1</v>
      </c>
      <c r="E3" s="3" t="b">
        <f>FALSE()</f>
        <v>0</v>
      </c>
      <c r="F3" s="2" t="s">
        <v>23</v>
      </c>
      <c r="G3" s="2" t="s">
        <v>364</v>
      </c>
      <c r="H3" s="2" t="s">
        <v>23</v>
      </c>
      <c r="I3" s="2" t="s">
        <v>365</v>
      </c>
      <c r="J3" s="3" t="b">
        <f>TRUE()</f>
        <v>1</v>
      </c>
      <c r="K3" s="10">
        <v>8.75</v>
      </c>
      <c r="L3" s="10">
        <v>8.75</v>
      </c>
      <c r="M3" s="2" t="s">
        <v>368</v>
      </c>
      <c r="N3" s="2" t="s">
        <v>25</v>
      </c>
      <c r="O3" s="2" t="s">
        <v>24</v>
      </c>
      <c r="P3" s="2" t="s">
        <v>367</v>
      </c>
      <c r="Q3" s="2" t="s">
        <v>23</v>
      </c>
    </row>
    <row r="4" spans="1:17" x14ac:dyDescent="0.25">
      <c r="A4" s="2" t="s">
        <v>213</v>
      </c>
      <c r="B4" s="2" t="s">
        <v>306</v>
      </c>
      <c r="C4" s="5">
        <v>12.5</v>
      </c>
      <c r="D4" s="3" t="b">
        <f>TRUE()</f>
        <v>1</v>
      </c>
      <c r="E4" s="3" t="b">
        <f>FALSE()</f>
        <v>0</v>
      </c>
      <c r="F4" s="2" t="s">
        <v>23</v>
      </c>
      <c r="G4" s="2" t="s">
        <v>364</v>
      </c>
      <c r="H4" s="2" t="s">
        <v>23</v>
      </c>
      <c r="I4" s="2" t="s">
        <v>365</v>
      </c>
      <c r="J4" s="3" t="b">
        <f>TRUE()</f>
        <v>1</v>
      </c>
      <c r="K4" s="10">
        <v>3.4</v>
      </c>
      <c r="L4" s="10">
        <v>0</v>
      </c>
      <c r="M4" s="2" t="s">
        <v>369</v>
      </c>
      <c r="N4" s="2" t="s">
        <v>93</v>
      </c>
      <c r="O4" s="2" t="s">
        <v>24</v>
      </c>
      <c r="P4" s="2" t="s">
        <v>367</v>
      </c>
      <c r="Q4" s="2" t="s">
        <v>23</v>
      </c>
    </row>
    <row r="5" spans="1:17" x14ac:dyDescent="0.25">
      <c r="A5" s="2" t="s">
        <v>370</v>
      </c>
      <c r="B5" s="2" t="s">
        <v>371</v>
      </c>
      <c r="C5" s="5">
        <v>202.52500000000001</v>
      </c>
      <c r="D5" s="3" t="b">
        <f>FALSE()</f>
        <v>0</v>
      </c>
      <c r="E5" s="3" t="b">
        <f>FALSE()</f>
        <v>0</v>
      </c>
      <c r="F5" s="2" t="s">
        <v>23</v>
      </c>
      <c r="G5" s="2" t="s">
        <v>364</v>
      </c>
      <c r="H5" s="2" t="s">
        <v>23</v>
      </c>
      <c r="I5" s="2" t="s">
        <v>365</v>
      </c>
      <c r="J5" s="3" t="b">
        <f>FALSE()</f>
        <v>0</v>
      </c>
      <c r="K5" s="10">
        <v>2.9500199999999999</v>
      </c>
      <c r="L5" s="10">
        <v>2.95</v>
      </c>
      <c r="M5" s="2" t="s">
        <v>372</v>
      </c>
      <c r="N5" s="2" t="s">
        <v>373</v>
      </c>
      <c r="O5" s="2" t="s">
        <v>24</v>
      </c>
      <c r="P5" s="2" t="s">
        <v>367</v>
      </c>
      <c r="Q5" s="2" t="s">
        <v>23</v>
      </c>
    </row>
    <row r="6" spans="1:17" x14ac:dyDescent="0.25">
      <c r="A6" s="2" t="s">
        <v>374</v>
      </c>
      <c r="B6" s="2" t="s">
        <v>375</v>
      </c>
      <c r="C6" s="5">
        <v>135</v>
      </c>
      <c r="D6" s="3" t="b">
        <f>FALSE()</f>
        <v>0</v>
      </c>
      <c r="E6" s="3" t="b">
        <f>FALSE()</f>
        <v>0</v>
      </c>
      <c r="F6" s="2" t="s">
        <v>23</v>
      </c>
      <c r="G6" s="2" t="s">
        <v>364</v>
      </c>
      <c r="H6" s="2" t="s">
        <v>23</v>
      </c>
      <c r="I6" s="2" t="s">
        <v>365</v>
      </c>
      <c r="J6" s="3" t="b">
        <f>FALSE()</f>
        <v>0</v>
      </c>
      <c r="K6" s="10">
        <v>97.5</v>
      </c>
      <c r="L6" s="10">
        <v>87.5</v>
      </c>
      <c r="M6" s="2" t="s">
        <v>376</v>
      </c>
      <c r="N6" s="2" t="s">
        <v>93</v>
      </c>
      <c r="O6" s="2" t="s">
        <v>24</v>
      </c>
      <c r="P6" s="2" t="s">
        <v>367</v>
      </c>
      <c r="Q6" s="2" t="s">
        <v>23</v>
      </c>
    </row>
    <row r="7" spans="1:17" x14ac:dyDescent="0.25">
      <c r="A7" s="2" t="s">
        <v>218</v>
      </c>
      <c r="B7" s="2" t="s">
        <v>309</v>
      </c>
      <c r="C7" s="5">
        <v>0</v>
      </c>
      <c r="D7" s="3" t="b">
        <f>TRUE()</f>
        <v>1</v>
      </c>
      <c r="E7" s="3" t="b">
        <f>FALSE()</f>
        <v>0</v>
      </c>
      <c r="F7" s="2" t="s">
        <v>23</v>
      </c>
      <c r="G7" s="2" t="s">
        <v>364</v>
      </c>
      <c r="H7" s="2" t="s">
        <v>23</v>
      </c>
      <c r="I7" s="2" t="s">
        <v>365</v>
      </c>
      <c r="J7" s="3" t="b">
        <f>TRUE()</f>
        <v>1</v>
      </c>
      <c r="K7" s="10">
        <v>0</v>
      </c>
      <c r="L7" s="10">
        <v>0</v>
      </c>
      <c r="M7" s="2" t="s">
        <v>377</v>
      </c>
      <c r="N7" s="2" t="s">
        <v>25</v>
      </c>
      <c r="O7" s="2" t="s">
        <v>24</v>
      </c>
      <c r="P7" s="2" t="s">
        <v>367</v>
      </c>
      <c r="Q7" s="2" t="s">
        <v>23</v>
      </c>
    </row>
    <row r="8" spans="1:17" x14ac:dyDescent="0.25">
      <c r="A8" s="2" t="s">
        <v>224</v>
      </c>
      <c r="B8" s="2" t="s">
        <v>251</v>
      </c>
      <c r="C8" s="5">
        <v>13.5</v>
      </c>
      <c r="D8" s="3" t="b">
        <f>TRUE()</f>
        <v>1</v>
      </c>
      <c r="E8" s="3" t="b">
        <f>FALSE()</f>
        <v>0</v>
      </c>
      <c r="F8" s="2" t="s">
        <v>23</v>
      </c>
      <c r="G8" s="2" t="s">
        <v>364</v>
      </c>
      <c r="H8" s="2" t="s">
        <v>23</v>
      </c>
      <c r="I8" s="2" t="s">
        <v>365</v>
      </c>
      <c r="J8" s="3" t="b">
        <f>TRUE()</f>
        <v>1</v>
      </c>
      <c r="K8" s="10">
        <v>6.8496300000000003</v>
      </c>
      <c r="L8" s="10">
        <v>6.85</v>
      </c>
      <c r="M8" s="2" t="s">
        <v>378</v>
      </c>
      <c r="N8" s="2" t="s">
        <v>93</v>
      </c>
      <c r="O8" s="2" t="s">
        <v>24</v>
      </c>
      <c r="P8" s="2" t="s">
        <v>367</v>
      </c>
      <c r="Q8" s="2" t="s">
        <v>23</v>
      </c>
    </row>
    <row r="9" spans="1:17" x14ac:dyDescent="0.25">
      <c r="A9" s="2" t="s">
        <v>230</v>
      </c>
      <c r="B9" s="2" t="s">
        <v>307</v>
      </c>
      <c r="C9" s="5">
        <v>0</v>
      </c>
      <c r="D9" s="3" t="b">
        <f>TRUE()</f>
        <v>1</v>
      </c>
      <c r="E9" s="3" t="b">
        <f>FALSE()</f>
        <v>0</v>
      </c>
      <c r="F9" s="2" t="s">
        <v>23</v>
      </c>
      <c r="G9" s="2" t="s">
        <v>364</v>
      </c>
      <c r="H9" s="2" t="s">
        <v>23</v>
      </c>
      <c r="I9" s="2" t="s">
        <v>365</v>
      </c>
      <c r="J9" s="3" t="b">
        <f>TRUE()</f>
        <v>1</v>
      </c>
      <c r="K9" s="10">
        <v>0</v>
      </c>
      <c r="L9" s="10">
        <v>0</v>
      </c>
      <c r="M9" s="2" t="s">
        <v>379</v>
      </c>
      <c r="N9" s="2" t="s">
        <v>380</v>
      </c>
      <c r="O9" s="2" t="s">
        <v>24</v>
      </c>
      <c r="P9" s="2" t="s">
        <v>367</v>
      </c>
      <c r="Q9" s="2" t="s">
        <v>23</v>
      </c>
    </row>
    <row r="10" spans="1:17" x14ac:dyDescent="0.25">
      <c r="A10" s="2" t="s">
        <v>233</v>
      </c>
      <c r="B10" s="2" t="s">
        <v>252</v>
      </c>
      <c r="C10" s="5">
        <v>0</v>
      </c>
      <c r="D10" s="3" t="b">
        <f>TRUE()</f>
        <v>1</v>
      </c>
      <c r="E10" s="3" t="b">
        <f>FALSE()</f>
        <v>0</v>
      </c>
      <c r="F10" s="2" t="s">
        <v>23</v>
      </c>
      <c r="G10" s="2" t="s">
        <v>364</v>
      </c>
      <c r="H10" s="2" t="s">
        <v>23</v>
      </c>
      <c r="I10" s="2" t="s">
        <v>365</v>
      </c>
      <c r="J10" s="3" t="b">
        <f>TRUE()</f>
        <v>1</v>
      </c>
      <c r="K10" s="10">
        <v>0</v>
      </c>
      <c r="L10" s="10">
        <v>0</v>
      </c>
      <c r="M10" s="2" t="s">
        <v>381</v>
      </c>
      <c r="N10" s="2" t="s">
        <v>164</v>
      </c>
      <c r="O10" s="2" t="s">
        <v>24</v>
      </c>
      <c r="P10" s="2" t="s">
        <v>367</v>
      </c>
      <c r="Q10" s="2" t="s">
        <v>23</v>
      </c>
    </row>
    <row r="11" spans="1:17" x14ac:dyDescent="0.25">
      <c r="A11" s="2" t="s">
        <v>236</v>
      </c>
      <c r="B11" s="2" t="s">
        <v>314</v>
      </c>
      <c r="C11" s="5">
        <v>100.675</v>
      </c>
      <c r="D11" s="3" t="b">
        <f>TRUE()</f>
        <v>1</v>
      </c>
      <c r="E11" s="3" t="b">
        <f>FALSE()</f>
        <v>0</v>
      </c>
      <c r="F11" s="2" t="s">
        <v>23</v>
      </c>
      <c r="G11" s="2" t="s">
        <v>364</v>
      </c>
      <c r="H11" s="2" t="s">
        <v>23</v>
      </c>
      <c r="I11" s="2" t="s">
        <v>365</v>
      </c>
      <c r="J11" s="3" t="b">
        <f>FALSE()</f>
        <v>0</v>
      </c>
      <c r="K11" s="10">
        <v>1.4999899999999999</v>
      </c>
      <c r="L11" s="10">
        <v>0</v>
      </c>
      <c r="M11" s="2" t="s">
        <v>382</v>
      </c>
      <c r="N11" s="2" t="s">
        <v>383</v>
      </c>
      <c r="O11" s="2" t="s">
        <v>24</v>
      </c>
      <c r="P11" s="2" t="s">
        <v>367</v>
      </c>
      <c r="Q11" s="2" t="s">
        <v>23</v>
      </c>
    </row>
    <row r="12" spans="1:17" x14ac:dyDescent="0.25">
      <c r="A12" s="2" t="s">
        <v>241</v>
      </c>
      <c r="B12" s="2" t="s">
        <v>384</v>
      </c>
      <c r="C12" s="5">
        <v>62.606119999999997</v>
      </c>
      <c r="D12" s="3" t="b">
        <f>TRUE()</f>
        <v>1</v>
      </c>
      <c r="E12" s="3" t="b">
        <f>FALSE()</f>
        <v>0</v>
      </c>
      <c r="F12" s="2" t="s">
        <v>23</v>
      </c>
      <c r="G12" s="2" t="s">
        <v>364</v>
      </c>
      <c r="H12" s="2" t="s">
        <v>23</v>
      </c>
      <c r="I12" s="2" t="s">
        <v>365</v>
      </c>
      <c r="J12" s="3" t="b">
        <f>FALSE()</f>
        <v>0</v>
      </c>
      <c r="K12" s="10">
        <v>18.500170000000001</v>
      </c>
      <c r="L12" s="10">
        <v>0</v>
      </c>
      <c r="M12" s="2" t="s">
        <v>376</v>
      </c>
      <c r="N12" s="2" t="s">
        <v>385</v>
      </c>
      <c r="O12" s="2" t="s">
        <v>24</v>
      </c>
      <c r="P12" s="2" t="s">
        <v>367</v>
      </c>
      <c r="Q12" s="2" t="s">
        <v>23</v>
      </c>
    </row>
    <row r="13" spans="1:17" x14ac:dyDescent="0.25">
      <c r="A13" s="2" t="s">
        <v>244</v>
      </c>
      <c r="B13" s="2" t="s">
        <v>249</v>
      </c>
      <c r="C13" s="5">
        <v>28.22569</v>
      </c>
      <c r="D13" s="3" t="b">
        <f>TRUE()</f>
        <v>1</v>
      </c>
      <c r="E13" s="3" t="b">
        <f>FALSE()</f>
        <v>0</v>
      </c>
      <c r="F13" s="2" t="s">
        <v>23</v>
      </c>
      <c r="G13" s="2" t="s">
        <v>364</v>
      </c>
      <c r="H13" s="2" t="s">
        <v>23</v>
      </c>
      <c r="I13" s="2" t="s">
        <v>365</v>
      </c>
      <c r="J13" s="3" t="b">
        <f>FALSE()</f>
        <v>0</v>
      </c>
      <c r="K13" s="10">
        <v>11.5001</v>
      </c>
      <c r="L13" s="10">
        <v>0</v>
      </c>
      <c r="M13" s="2" t="s">
        <v>386</v>
      </c>
      <c r="N13" s="2" t="s">
        <v>93</v>
      </c>
      <c r="O13" s="2" t="s">
        <v>24</v>
      </c>
      <c r="P13" s="2" t="s">
        <v>367</v>
      </c>
      <c r="Q13" s="2" t="s">
        <v>23</v>
      </c>
    </row>
    <row r="14" spans="1:17" x14ac:dyDescent="0.25">
      <c r="A14" s="2" t="s">
        <v>387</v>
      </c>
      <c r="B14" s="2" t="s">
        <v>388</v>
      </c>
      <c r="C14" s="5">
        <v>0</v>
      </c>
      <c r="D14" s="3" t="b">
        <f>FALSE()</f>
        <v>0</v>
      </c>
      <c r="E14" s="3" t="b">
        <f>FALSE()</f>
        <v>0</v>
      </c>
      <c r="F14" s="2" t="s">
        <v>23</v>
      </c>
      <c r="G14" s="2" t="s">
        <v>364</v>
      </c>
      <c r="H14" s="2" t="s">
        <v>23</v>
      </c>
      <c r="I14" s="2" t="s">
        <v>365</v>
      </c>
      <c r="J14" s="3" t="b">
        <f>TRUE()</f>
        <v>1</v>
      </c>
      <c r="K14" s="10">
        <v>0</v>
      </c>
      <c r="L14" s="10">
        <v>0</v>
      </c>
      <c r="M14" s="2" t="s">
        <v>389</v>
      </c>
      <c r="N14" s="2" t="s">
        <v>164</v>
      </c>
      <c r="O14" s="2" t="s">
        <v>24</v>
      </c>
      <c r="P14" s="2" t="s">
        <v>367</v>
      </c>
      <c r="Q14" s="2" t="s">
        <v>23</v>
      </c>
    </row>
    <row r="15" spans="1:17" x14ac:dyDescent="0.25">
      <c r="A15" s="2" t="s">
        <v>390</v>
      </c>
      <c r="B15" s="2" t="s">
        <v>391</v>
      </c>
      <c r="C15" s="5">
        <v>10.40014</v>
      </c>
      <c r="D15" s="3" t="b">
        <f>FALSE()</f>
        <v>0</v>
      </c>
      <c r="E15" s="3" t="b">
        <f>FALSE()</f>
        <v>0</v>
      </c>
      <c r="F15" s="2" t="s">
        <v>23</v>
      </c>
      <c r="G15" s="2" t="s">
        <v>364</v>
      </c>
      <c r="H15" s="2" t="s">
        <v>23</v>
      </c>
      <c r="I15" s="2" t="s">
        <v>365</v>
      </c>
      <c r="J15" s="3" t="b">
        <f>FALSE()</f>
        <v>0</v>
      </c>
      <c r="K15" s="10">
        <v>7.9499399999999998</v>
      </c>
      <c r="L15" s="10">
        <v>0</v>
      </c>
      <c r="M15" s="2" t="s">
        <v>392</v>
      </c>
      <c r="N15" s="2" t="s">
        <v>25</v>
      </c>
      <c r="O15" s="2" t="s">
        <v>24</v>
      </c>
      <c r="P15" s="2" t="s">
        <v>367</v>
      </c>
      <c r="Q15" s="2" t="s">
        <v>23</v>
      </c>
    </row>
    <row r="16" spans="1:17" x14ac:dyDescent="0.25">
      <c r="A16" s="2" t="s">
        <v>393</v>
      </c>
      <c r="B16" s="2" t="s">
        <v>394</v>
      </c>
      <c r="C16" s="5">
        <v>32.820830000000001</v>
      </c>
      <c r="D16" s="3" t="b">
        <f>FALSE()</f>
        <v>0</v>
      </c>
      <c r="E16" s="3" t="b">
        <f>FALSE()</f>
        <v>0</v>
      </c>
      <c r="F16" s="2" t="s">
        <v>23</v>
      </c>
      <c r="G16" s="2" t="s">
        <v>364</v>
      </c>
      <c r="H16" s="2" t="s">
        <v>23</v>
      </c>
      <c r="I16" s="2" t="s">
        <v>365</v>
      </c>
      <c r="J16" s="3" t="b">
        <f>FALSE()</f>
        <v>0</v>
      </c>
      <c r="K16" s="10">
        <v>31.749970000000001</v>
      </c>
      <c r="L16" s="10">
        <v>0</v>
      </c>
      <c r="M16" s="2" t="s">
        <v>395</v>
      </c>
      <c r="N16" s="2" t="s">
        <v>93</v>
      </c>
      <c r="O16" s="2" t="s">
        <v>24</v>
      </c>
      <c r="P16" s="2" t="s">
        <v>367</v>
      </c>
      <c r="Q16" s="2" t="s">
        <v>23</v>
      </c>
    </row>
    <row r="17" spans="1:17" x14ac:dyDescent="0.25">
      <c r="A17" s="2" t="s">
        <v>396</v>
      </c>
      <c r="B17" s="2" t="s">
        <v>397</v>
      </c>
      <c r="C17" s="5">
        <v>0.51512000000000002</v>
      </c>
      <c r="D17" s="3" t="b">
        <f>FALSE()</f>
        <v>0</v>
      </c>
      <c r="E17" s="3" t="b">
        <f>FALSE()</f>
        <v>0</v>
      </c>
      <c r="F17" s="2" t="s">
        <v>23</v>
      </c>
      <c r="G17" s="2" t="s">
        <v>364</v>
      </c>
      <c r="H17" s="2" t="s">
        <v>23</v>
      </c>
      <c r="I17" s="2" t="s">
        <v>365</v>
      </c>
      <c r="J17" s="3" t="b">
        <f>FALSE()</f>
        <v>0</v>
      </c>
      <c r="K17" s="10">
        <v>220.00411</v>
      </c>
      <c r="L17" s="10">
        <v>0</v>
      </c>
      <c r="M17" s="2" t="s">
        <v>398</v>
      </c>
      <c r="N17" s="2" t="s">
        <v>93</v>
      </c>
      <c r="O17" s="2" t="s">
        <v>24</v>
      </c>
      <c r="P17" s="2" t="s">
        <v>367</v>
      </c>
      <c r="Q17" s="2" t="s">
        <v>23</v>
      </c>
    </row>
    <row r="18" spans="1:17" x14ac:dyDescent="0.25">
      <c r="A18" s="2" t="s">
        <v>399</v>
      </c>
      <c r="B18" s="2" t="s">
        <v>400</v>
      </c>
      <c r="C18" s="5">
        <v>93.621030000000005</v>
      </c>
      <c r="D18" s="3" t="b">
        <f>FALSE()</f>
        <v>0</v>
      </c>
      <c r="E18" s="3" t="b">
        <f>FALSE()</f>
        <v>0</v>
      </c>
      <c r="F18" s="2" t="s">
        <v>23</v>
      </c>
      <c r="G18" s="2" t="s">
        <v>364</v>
      </c>
      <c r="H18" s="2" t="s">
        <v>23</v>
      </c>
      <c r="I18" s="2" t="s">
        <v>365</v>
      </c>
      <c r="J18" s="3" t="b">
        <f>FALSE()</f>
        <v>0</v>
      </c>
      <c r="K18" s="10">
        <v>18</v>
      </c>
      <c r="L18" s="10">
        <v>0</v>
      </c>
      <c r="M18" s="2" t="s">
        <v>401</v>
      </c>
      <c r="N18" s="2" t="s">
        <v>385</v>
      </c>
      <c r="O18" s="2" t="s">
        <v>24</v>
      </c>
      <c r="P18" s="2" t="s">
        <v>367</v>
      </c>
      <c r="Q18" s="2" t="s">
        <v>23</v>
      </c>
    </row>
    <row r="19" spans="1:17" x14ac:dyDescent="0.25">
      <c r="A19" s="2" t="s">
        <v>402</v>
      </c>
      <c r="B19" s="2" t="s">
        <v>403</v>
      </c>
      <c r="C19" s="5">
        <v>2.6056599999999999</v>
      </c>
      <c r="D19" s="3" t="b">
        <f>FALSE()</f>
        <v>0</v>
      </c>
      <c r="E19" s="3" t="b">
        <f>FALSE()</f>
        <v>0</v>
      </c>
      <c r="F19" s="2" t="s">
        <v>23</v>
      </c>
      <c r="G19" s="2" t="s">
        <v>364</v>
      </c>
      <c r="H19" s="2" t="s">
        <v>23</v>
      </c>
      <c r="I19" s="2" t="s">
        <v>365</v>
      </c>
      <c r="J19" s="3" t="b">
        <f>FALSE()</f>
        <v>0</v>
      </c>
      <c r="K19" s="10">
        <v>34.3001</v>
      </c>
      <c r="L19" s="10">
        <v>0</v>
      </c>
      <c r="M19" s="2" t="s">
        <v>404</v>
      </c>
      <c r="N19" s="2" t="s">
        <v>164</v>
      </c>
      <c r="O19" s="2" t="s">
        <v>24</v>
      </c>
      <c r="P19" s="2" t="s">
        <v>367</v>
      </c>
      <c r="Q19" s="2" t="s">
        <v>23</v>
      </c>
    </row>
    <row r="20" spans="1:17" x14ac:dyDescent="0.25">
      <c r="A20" s="2" t="s">
        <v>405</v>
      </c>
      <c r="B20" s="2" t="s">
        <v>406</v>
      </c>
      <c r="C20" s="5">
        <v>70.498199999999997</v>
      </c>
      <c r="D20" s="3" t="b">
        <f>FALSE()</f>
        <v>0</v>
      </c>
      <c r="E20" s="3" t="b">
        <f>FALSE()</f>
        <v>0</v>
      </c>
      <c r="F20" s="2" t="s">
        <v>23</v>
      </c>
      <c r="G20" s="2" t="s">
        <v>364</v>
      </c>
      <c r="H20" s="2" t="s">
        <v>23</v>
      </c>
      <c r="I20" s="2" t="s">
        <v>365</v>
      </c>
      <c r="J20" s="3" t="b">
        <f>FALSE()</f>
        <v>0</v>
      </c>
      <c r="K20" s="10">
        <v>21</v>
      </c>
      <c r="L20" s="10">
        <v>0</v>
      </c>
      <c r="M20" s="2" t="s">
        <v>401</v>
      </c>
      <c r="N20" s="2" t="s">
        <v>164</v>
      </c>
      <c r="O20" s="2" t="s">
        <v>24</v>
      </c>
      <c r="P20" s="2" t="s">
        <v>367</v>
      </c>
      <c r="Q20" s="2" t="s">
        <v>23</v>
      </c>
    </row>
    <row r="21" spans="1:17" x14ac:dyDescent="0.25">
      <c r="A21" s="2" t="s">
        <v>407</v>
      </c>
      <c r="B21" s="2" t="s">
        <v>408</v>
      </c>
      <c r="C21" s="5">
        <v>29.499600000000001</v>
      </c>
      <c r="D21" s="3" t="b">
        <f>FALSE()</f>
        <v>0</v>
      </c>
      <c r="E21" s="3" t="b">
        <f>FALSE()</f>
        <v>0</v>
      </c>
      <c r="F21" s="2" t="s">
        <v>23</v>
      </c>
      <c r="G21" s="2" t="s">
        <v>364</v>
      </c>
      <c r="H21" s="2" t="s">
        <v>23</v>
      </c>
      <c r="I21" s="2" t="s">
        <v>365</v>
      </c>
      <c r="J21" s="3" t="b">
        <f>FALSE()</f>
        <v>0</v>
      </c>
      <c r="K21" s="10">
        <v>104.14516</v>
      </c>
      <c r="L21" s="10">
        <v>0</v>
      </c>
      <c r="M21" s="2" t="s">
        <v>409</v>
      </c>
      <c r="N21" s="2" t="s">
        <v>410</v>
      </c>
      <c r="O21" s="2" t="s">
        <v>24</v>
      </c>
      <c r="P21" s="2" t="s">
        <v>367</v>
      </c>
      <c r="Q21" s="2" t="s">
        <v>23</v>
      </c>
    </row>
    <row r="22" spans="1:17" x14ac:dyDescent="0.25">
      <c r="A22" s="2" t="s">
        <v>411</v>
      </c>
      <c r="B22" s="2" t="s">
        <v>412</v>
      </c>
      <c r="C22" s="5">
        <v>3.0745800000000001</v>
      </c>
      <c r="D22" s="3" t="b">
        <f>FALSE()</f>
        <v>0</v>
      </c>
      <c r="E22" s="3" t="b">
        <f>FALSE()</f>
        <v>0</v>
      </c>
      <c r="F22" s="2" t="s">
        <v>23</v>
      </c>
      <c r="G22" s="2" t="s">
        <v>364</v>
      </c>
      <c r="H22" s="2" t="s">
        <v>23</v>
      </c>
      <c r="I22" s="2" t="s">
        <v>365</v>
      </c>
      <c r="J22" s="3" t="b">
        <f>TRUE()</f>
        <v>1</v>
      </c>
      <c r="K22" s="10">
        <v>17.3292</v>
      </c>
      <c r="L22" s="10">
        <v>17.329999999999998</v>
      </c>
      <c r="M22" s="2" t="s">
        <v>413</v>
      </c>
      <c r="N22" s="2" t="s">
        <v>125</v>
      </c>
      <c r="O22" s="2" t="s">
        <v>24</v>
      </c>
      <c r="P22" s="2" t="s">
        <v>367</v>
      </c>
      <c r="Q22" s="2" t="s">
        <v>23</v>
      </c>
    </row>
    <row r="23" spans="1:17" x14ac:dyDescent="0.25">
      <c r="A23" s="2" t="s">
        <v>245</v>
      </c>
      <c r="B23" s="2" t="s">
        <v>246</v>
      </c>
      <c r="C23" s="5">
        <v>25</v>
      </c>
      <c r="D23" s="3" t="b">
        <f>TRUE()</f>
        <v>1</v>
      </c>
      <c r="E23" s="3" t="b">
        <f>FALSE()</f>
        <v>0</v>
      </c>
      <c r="F23" s="2" t="s">
        <v>23</v>
      </c>
      <c r="G23" s="2" t="s">
        <v>364</v>
      </c>
      <c r="H23" s="2" t="s">
        <v>23</v>
      </c>
      <c r="I23" s="2" t="s">
        <v>365</v>
      </c>
      <c r="J23" s="3" t="b">
        <f>FALSE()</f>
        <v>0</v>
      </c>
      <c r="K23" s="10">
        <v>11.5</v>
      </c>
      <c r="L23" s="10">
        <v>0</v>
      </c>
      <c r="M23" s="2" t="s">
        <v>386</v>
      </c>
      <c r="N23" s="2" t="s">
        <v>93</v>
      </c>
      <c r="O23" s="2" t="s">
        <v>24</v>
      </c>
      <c r="P23" s="2" t="s">
        <v>367</v>
      </c>
      <c r="Q23" s="2" t="s">
        <v>23</v>
      </c>
    </row>
    <row r="24" spans="1:17" x14ac:dyDescent="0.25">
      <c r="A24" s="2" t="s">
        <v>214</v>
      </c>
      <c r="B24" s="2" t="s">
        <v>215</v>
      </c>
      <c r="C24" s="5">
        <v>0</v>
      </c>
      <c r="D24" s="3" t="b">
        <f>TRUE()</f>
        <v>1</v>
      </c>
      <c r="E24" s="3" t="b">
        <f>FALSE()</f>
        <v>0</v>
      </c>
      <c r="F24" s="2" t="s">
        <v>23</v>
      </c>
      <c r="G24" s="2" t="s">
        <v>364</v>
      </c>
      <c r="H24" s="2" t="s">
        <v>23</v>
      </c>
      <c r="I24" s="2" t="s">
        <v>365</v>
      </c>
      <c r="J24" s="3" t="b">
        <f>TRUE()</f>
        <v>1</v>
      </c>
      <c r="K24" s="10">
        <v>0</v>
      </c>
      <c r="L24" s="10">
        <v>0</v>
      </c>
      <c r="M24" s="2" t="s">
        <v>414</v>
      </c>
      <c r="N24" s="2" t="s">
        <v>164</v>
      </c>
      <c r="O24" s="2" t="s">
        <v>24</v>
      </c>
      <c r="P24" s="2" t="s">
        <v>367</v>
      </c>
      <c r="Q24" s="2" t="s">
        <v>23</v>
      </c>
    </row>
    <row r="25" spans="1:17" x14ac:dyDescent="0.25">
      <c r="A25" s="2" t="s">
        <v>27</v>
      </c>
      <c r="B25" s="2" t="s">
        <v>28</v>
      </c>
      <c r="C25" s="5">
        <v>7.9375</v>
      </c>
      <c r="D25" s="3" t="b">
        <f>TRUE()</f>
        <v>1</v>
      </c>
      <c r="E25" s="3" t="b">
        <f>FALSE()</f>
        <v>0</v>
      </c>
      <c r="F25" s="2" t="s">
        <v>23</v>
      </c>
      <c r="G25" s="2" t="s">
        <v>364</v>
      </c>
      <c r="H25" s="2" t="s">
        <v>23</v>
      </c>
      <c r="I25" s="2" t="s">
        <v>365</v>
      </c>
      <c r="J25" s="3" t="b">
        <f>TRUE()</f>
        <v>1</v>
      </c>
      <c r="K25" s="10">
        <v>7.8198400000000001</v>
      </c>
      <c r="L25" s="10">
        <v>7.82</v>
      </c>
      <c r="M25" s="2" t="s">
        <v>415</v>
      </c>
      <c r="N25" s="2" t="s">
        <v>25</v>
      </c>
      <c r="O25" s="2" t="s">
        <v>24</v>
      </c>
      <c r="P25" s="2" t="s">
        <v>367</v>
      </c>
      <c r="Q25" s="2" t="s">
        <v>23</v>
      </c>
    </row>
    <row r="26" spans="1:17" x14ac:dyDescent="0.25">
      <c r="A26" s="2" t="s">
        <v>29</v>
      </c>
      <c r="B26" s="2" t="s">
        <v>30</v>
      </c>
      <c r="C26" s="5">
        <v>50</v>
      </c>
      <c r="D26" s="3" t="b">
        <f>FALSE()</f>
        <v>0</v>
      </c>
      <c r="E26" s="3" t="b">
        <f>FALSE()</f>
        <v>0</v>
      </c>
      <c r="F26" s="2" t="s">
        <v>23</v>
      </c>
      <c r="G26" s="2" t="s">
        <v>364</v>
      </c>
      <c r="H26" s="2" t="s">
        <v>23</v>
      </c>
      <c r="I26" s="2" t="s">
        <v>365</v>
      </c>
      <c r="J26" s="3" t="b">
        <f>FALSE()</f>
        <v>0</v>
      </c>
      <c r="K26" s="10">
        <v>40</v>
      </c>
      <c r="L26" s="10">
        <v>40</v>
      </c>
      <c r="M26" s="2" t="s">
        <v>389</v>
      </c>
      <c r="N26" s="2" t="s">
        <v>25</v>
      </c>
      <c r="O26" s="2" t="s">
        <v>24</v>
      </c>
      <c r="P26" s="2" t="s">
        <v>367</v>
      </c>
      <c r="Q26" s="2" t="s">
        <v>23</v>
      </c>
    </row>
    <row r="27" spans="1:17" x14ac:dyDescent="0.25">
      <c r="A27" s="2" t="s">
        <v>234</v>
      </c>
      <c r="B27" s="2" t="s">
        <v>416</v>
      </c>
      <c r="C27" s="5">
        <v>0</v>
      </c>
      <c r="D27" s="3" t="b">
        <f>TRUE()</f>
        <v>1</v>
      </c>
      <c r="E27" s="3" t="b">
        <f>FALSE()</f>
        <v>0</v>
      </c>
      <c r="F27" s="2" t="s">
        <v>23</v>
      </c>
      <c r="G27" s="2" t="s">
        <v>364</v>
      </c>
      <c r="H27" s="2" t="s">
        <v>23</v>
      </c>
      <c r="I27" s="2" t="s">
        <v>365</v>
      </c>
      <c r="J27" s="3" t="b">
        <f>TRUE()</f>
        <v>1</v>
      </c>
      <c r="K27" s="10">
        <v>41.999989999999997</v>
      </c>
      <c r="L27" s="10">
        <v>0</v>
      </c>
      <c r="M27" s="2" t="s">
        <v>417</v>
      </c>
      <c r="N27" s="2" t="s">
        <v>418</v>
      </c>
      <c r="O27" s="2" t="s">
        <v>24</v>
      </c>
      <c r="P27" s="2" t="s">
        <v>367</v>
      </c>
      <c r="Q27" s="2" t="s">
        <v>23</v>
      </c>
    </row>
    <row r="28" spans="1:17" x14ac:dyDescent="0.25">
      <c r="A28" s="2" t="s">
        <v>242</v>
      </c>
      <c r="B28" s="2" t="s">
        <v>243</v>
      </c>
      <c r="C28" s="5">
        <v>0</v>
      </c>
      <c r="D28" s="3" t="b">
        <f>TRUE()</f>
        <v>1</v>
      </c>
      <c r="E28" s="3" t="b">
        <f>FALSE()</f>
        <v>0</v>
      </c>
      <c r="F28" s="2" t="s">
        <v>23</v>
      </c>
      <c r="G28" s="2" t="s">
        <v>364</v>
      </c>
      <c r="H28" s="2" t="s">
        <v>23</v>
      </c>
      <c r="I28" s="2" t="s">
        <v>365</v>
      </c>
      <c r="J28" s="3" t="b">
        <f>TRUE()</f>
        <v>1</v>
      </c>
      <c r="K28" s="10">
        <v>0</v>
      </c>
      <c r="L28" s="10">
        <v>0</v>
      </c>
      <c r="M28" s="2" t="s">
        <v>419</v>
      </c>
      <c r="N28" s="2" t="s">
        <v>420</v>
      </c>
      <c r="O28" s="2" t="s">
        <v>24</v>
      </c>
      <c r="P28" s="2" t="s">
        <v>367</v>
      </c>
      <c r="Q28" s="2" t="s">
        <v>23</v>
      </c>
    </row>
    <row r="29" spans="1:17" x14ac:dyDescent="0.25">
      <c r="A29" s="2" t="s">
        <v>247</v>
      </c>
      <c r="B29" s="2" t="s">
        <v>248</v>
      </c>
      <c r="C29" s="5">
        <v>0</v>
      </c>
      <c r="D29" s="3" t="b">
        <f>TRUE()</f>
        <v>1</v>
      </c>
      <c r="E29" s="3" t="b">
        <f>FALSE()</f>
        <v>0</v>
      </c>
      <c r="F29" s="2" t="s">
        <v>23</v>
      </c>
      <c r="G29" s="2" t="s">
        <v>364</v>
      </c>
      <c r="H29" s="2" t="s">
        <v>23</v>
      </c>
      <c r="I29" s="2" t="s">
        <v>365</v>
      </c>
      <c r="J29" s="3" t="b">
        <f>TRUE()</f>
        <v>1</v>
      </c>
      <c r="K29" s="10">
        <v>0</v>
      </c>
      <c r="L29" s="10">
        <v>0</v>
      </c>
      <c r="M29" s="2" t="s">
        <v>386</v>
      </c>
      <c r="N29" s="2" t="s">
        <v>164</v>
      </c>
      <c r="O29" s="2" t="s">
        <v>24</v>
      </c>
      <c r="P29" s="2" t="s">
        <v>367</v>
      </c>
      <c r="Q29" s="2" t="s">
        <v>23</v>
      </c>
    </row>
    <row r="30" spans="1:17" x14ac:dyDescent="0.25">
      <c r="A30" s="2" t="s">
        <v>421</v>
      </c>
      <c r="B30" s="2" t="s">
        <v>422</v>
      </c>
      <c r="C30" s="5">
        <v>0</v>
      </c>
      <c r="D30" s="3" t="b">
        <f>FALSE()</f>
        <v>0</v>
      </c>
      <c r="E30" s="3" t="b">
        <f>FALSE()</f>
        <v>0</v>
      </c>
      <c r="F30" s="2" t="s">
        <v>23</v>
      </c>
      <c r="G30" s="2" t="s">
        <v>364</v>
      </c>
      <c r="H30" s="2" t="s">
        <v>23</v>
      </c>
      <c r="I30" s="2" t="s">
        <v>365</v>
      </c>
      <c r="J30" s="3" t="b">
        <f>TRUE()</f>
        <v>1</v>
      </c>
      <c r="K30" s="10">
        <v>0</v>
      </c>
      <c r="L30" s="10">
        <v>0</v>
      </c>
      <c r="M30" s="2" t="s">
        <v>23</v>
      </c>
      <c r="N30" s="2" t="s">
        <v>23</v>
      </c>
      <c r="O30" s="2" t="s">
        <v>24</v>
      </c>
      <c r="P30" s="2" t="s">
        <v>367</v>
      </c>
      <c r="Q30" s="2" t="s">
        <v>23</v>
      </c>
    </row>
    <row r="31" spans="1:17" x14ac:dyDescent="0.25">
      <c r="A31" s="2" t="s">
        <v>31</v>
      </c>
      <c r="B31" s="2" t="s">
        <v>32</v>
      </c>
      <c r="C31" s="5">
        <v>130</v>
      </c>
      <c r="D31" s="3" t="b">
        <f>FALSE()</f>
        <v>0</v>
      </c>
      <c r="E31" s="3" t="b">
        <f>FALSE()</f>
        <v>0</v>
      </c>
      <c r="F31" s="2" t="s">
        <v>23</v>
      </c>
      <c r="G31" s="2" t="s">
        <v>364</v>
      </c>
      <c r="H31" s="2" t="s">
        <v>23</v>
      </c>
      <c r="I31" s="2" t="s">
        <v>365</v>
      </c>
      <c r="J31" s="3" t="b">
        <f>FALSE()</f>
        <v>0</v>
      </c>
      <c r="K31" s="10">
        <v>6.6</v>
      </c>
      <c r="L31" s="10">
        <v>0</v>
      </c>
      <c r="M31" s="2" t="s">
        <v>423</v>
      </c>
      <c r="N31" s="2" t="s">
        <v>25</v>
      </c>
      <c r="O31" s="2" t="s">
        <v>24</v>
      </c>
      <c r="P31" s="2" t="s">
        <v>367</v>
      </c>
      <c r="Q31" s="2" t="s">
        <v>23</v>
      </c>
    </row>
    <row r="32" spans="1:17" x14ac:dyDescent="0.25">
      <c r="A32" s="2" t="s">
        <v>424</v>
      </c>
      <c r="B32" s="2" t="s">
        <v>425</v>
      </c>
      <c r="C32" s="5">
        <v>0</v>
      </c>
      <c r="D32" s="3" t="b">
        <f>FALSE()</f>
        <v>0</v>
      </c>
      <c r="E32" s="3" t="b">
        <f>FALSE()</f>
        <v>0</v>
      </c>
      <c r="F32" s="2" t="s">
        <v>23</v>
      </c>
      <c r="G32" s="2" t="s">
        <v>364</v>
      </c>
      <c r="H32" s="2" t="s">
        <v>23</v>
      </c>
      <c r="I32" s="2" t="s">
        <v>365</v>
      </c>
      <c r="J32" s="3" t="b">
        <f>TRUE()</f>
        <v>1</v>
      </c>
      <c r="K32" s="10">
        <v>0</v>
      </c>
      <c r="L32" s="10">
        <v>0</v>
      </c>
      <c r="M32" s="2" t="s">
        <v>426</v>
      </c>
      <c r="N32" s="2" t="s">
        <v>23</v>
      </c>
      <c r="O32" s="2" t="s">
        <v>24</v>
      </c>
      <c r="P32" s="2" t="s">
        <v>367</v>
      </c>
      <c r="Q32" s="2" t="s">
        <v>23</v>
      </c>
    </row>
    <row r="33" spans="1:17" x14ac:dyDescent="0.25">
      <c r="A33" s="2" t="s">
        <v>33</v>
      </c>
      <c r="B33" s="2" t="s">
        <v>34</v>
      </c>
      <c r="C33" s="5">
        <v>449.77499999999998</v>
      </c>
      <c r="D33" s="3" t="b">
        <f>TRUE()</f>
        <v>1</v>
      </c>
      <c r="E33" s="3" t="b">
        <f>FALSE()</f>
        <v>0</v>
      </c>
      <c r="F33" s="2" t="s">
        <v>23</v>
      </c>
      <c r="G33" s="2" t="s">
        <v>364</v>
      </c>
      <c r="H33" s="2" t="s">
        <v>23</v>
      </c>
      <c r="I33" s="2" t="s">
        <v>365</v>
      </c>
      <c r="J33" s="3" t="b">
        <f>FALSE()</f>
        <v>0</v>
      </c>
      <c r="K33" s="10">
        <v>4.1399999999999997</v>
      </c>
      <c r="L33" s="10">
        <v>0</v>
      </c>
      <c r="M33" s="2" t="s">
        <v>427</v>
      </c>
      <c r="N33" s="2" t="s">
        <v>25</v>
      </c>
      <c r="O33" s="2" t="s">
        <v>24</v>
      </c>
      <c r="P33" s="2" t="s">
        <v>367</v>
      </c>
      <c r="Q33" s="2" t="s">
        <v>23</v>
      </c>
    </row>
    <row r="34" spans="1:17" x14ac:dyDescent="0.25">
      <c r="A34" s="2" t="s">
        <v>258</v>
      </c>
      <c r="B34" s="2" t="s">
        <v>300</v>
      </c>
      <c r="C34" s="5">
        <v>20</v>
      </c>
      <c r="D34" s="3" t="b">
        <f>TRUE()</f>
        <v>1</v>
      </c>
      <c r="E34" s="3" t="b">
        <f>FALSE()</f>
        <v>0</v>
      </c>
      <c r="F34" s="2" t="s">
        <v>23</v>
      </c>
      <c r="G34" s="2" t="s">
        <v>364</v>
      </c>
      <c r="H34" s="2" t="s">
        <v>23</v>
      </c>
      <c r="I34" s="2" t="s">
        <v>365</v>
      </c>
      <c r="J34" s="3" t="b">
        <f>TRUE()</f>
        <v>1</v>
      </c>
      <c r="K34" s="10">
        <v>2.94</v>
      </c>
      <c r="L34" s="10">
        <v>0</v>
      </c>
      <c r="M34" s="2" t="s">
        <v>428</v>
      </c>
      <c r="N34" s="2" t="s">
        <v>25</v>
      </c>
      <c r="O34" s="2" t="s">
        <v>24</v>
      </c>
      <c r="P34" s="2" t="s">
        <v>367</v>
      </c>
      <c r="Q34" s="2" t="s">
        <v>23</v>
      </c>
    </row>
    <row r="35" spans="1:17" x14ac:dyDescent="0.25">
      <c r="A35" s="2" t="s">
        <v>35</v>
      </c>
      <c r="B35" s="2" t="s">
        <v>36</v>
      </c>
      <c r="C35" s="5">
        <v>104.86</v>
      </c>
      <c r="D35" s="3" t="b">
        <f>FALSE()</f>
        <v>0</v>
      </c>
      <c r="E35" s="3" t="b">
        <f>FALSE()</f>
        <v>0</v>
      </c>
      <c r="F35" s="2" t="s">
        <v>23</v>
      </c>
      <c r="G35" s="2" t="s">
        <v>364</v>
      </c>
      <c r="H35" s="2" t="s">
        <v>23</v>
      </c>
      <c r="I35" s="2" t="s">
        <v>365</v>
      </c>
      <c r="J35" s="3" t="b">
        <f>FALSE()</f>
        <v>0</v>
      </c>
      <c r="K35" s="10">
        <v>13.340249999999999</v>
      </c>
      <c r="L35" s="10">
        <v>0</v>
      </c>
      <c r="M35" s="2" t="s">
        <v>429</v>
      </c>
      <c r="N35" s="2" t="s">
        <v>25</v>
      </c>
      <c r="O35" s="2" t="s">
        <v>24</v>
      </c>
      <c r="P35" s="2" t="s">
        <v>367</v>
      </c>
      <c r="Q35" s="2" t="s">
        <v>23</v>
      </c>
    </row>
    <row r="36" spans="1:17" x14ac:dyDescent="0.25">
      <c r="A36" s="2" t="s">
        <v>37</v>
      </c>
      <c r="B36" s="2" t="s">
        <v>38</v>
      </c>
      <c r="C36" s="5">
        <v>283.18</v>
      </c>
      <c r="D36" s="3" t="b">
        <f>TRUE()</f>
        <v>1</v>
      </c>
      <c r="E36" s="3" t="b">
        <f>FALSE()</f>
        <v>0</v>
      </c>
      <c r="F36" s="2" t="s">
        <v>23</v>
      </c>
      <c r="G36" s="2" t="s">
        <v>364</v>
      </c>
      <c r="H36" s="2" t="s">
        <v>23</v>
      </c>
      <c r="I36" s="2" t="s">
        <v>365</v>
      </c>
      <c r="J36" s="3" t="b">
        <f>FALSE()</f>
        <v>0</v>
      </c>
      <c r="K36" s="10">
        <v>184</v>
      </c>
      <c r="L36" s="10">
        <v>0</v>
      </c>
      <c r="M36" s="2" t="s">
        <v>381</v>
      </c>
      <c r="N36" s="2" t="s">
        <v>25</v>
      </c>
      <c r="O36" s="2" t="s">
        <v>24</v>
      </c>
      <c r="P36" s="2" t="s">
        <v>367</v>
      </c>
      <c r="Q36" s="2" t="s">
        <v>23</v>
      </c>
    </row>
    <row r="37" spans="1:17" x14ac:dyDescent="0.25">
      <c r="A37" s="2" t="s">
        <v>39</v>
      </c>
      <c r="B37" s="2" t="s">
        <v>40</v>
      </c>
      <c r="C37" s="5">
        <v>112</v>
      </c>
      <c r="D37" s="3" t="b">
        <f>FALSE()</f>
        <v>0</v>
      </c>
      <c r="E37" s="3" t="b">
        <f>FALSE()</f>
        <v>0</v>
      </c>
      <c r="F37" s="2" t="s">
        <v>23</v>
      </c>
      <c r="G37" s="2" t="s">
        <v>364</v>
      </c>
      <c r="H37" s="2" t="s">
        <v>23</v>
      </c>
      <c r="I37" s="2" t="s">
        <v>365</v>
      </c>
      <c r="J37" s="3" t="b">
        <f>FALSE()</f>
        <v>0</v>
      </c>
      <c r="K37" s="10">
        <v>74.5</v>
      </c>
      <c r="L37" s="10">
        <v>0</v>
      </c>
      <c r="M37" s="2" t="s">
        <v>381</v>
      </c>
      <c r="N37" s="2" t="s">
        <v>25</v>
      </c>
      <c r="O37" s="2" t="s">
        <v>24</v>
      </c>
      <c r="P37" s="2" t="s">
        <v>367</v>
      </c>
      <c r="Q37" s="2" t="s">
        <v>23</v>
      </c>
    </row>
    <row r="38" spans="1:17" x14ac:dyDescent="0.25">
      <c r="A38" s="2" t="s">
        <v>430</v>
      </c>
      <c r="B38" s="2" t="s">
        <v>431</v>
      </c>
      <c r="C38" s="5">
        <v>4160</v>
      </c>
      <c r="D38" s="3" t="b">
        <f>FALSE()</f>
        <v>0</v>
      </c>
      <c r="E38" s="3" t="b">
        <f>FALSE()</f>
        <v>0</v>
      </c>
      <c r="F38" s="2" t="s">
        <v>23</v>
      </c>
      <c r="G38" s="2" t="s">
        <v>364</v>
      </c>
      <c r="H38" s="2" t="s">
        <v>23</v>
      </c>
      <c r="I38" s="2" t="s">
        <v>432</v>
      </c>
      <c r="J38" s="3" t="b">
        <f>TRUE()</f>
        <v>1</v>
      </c>
      <c r="K38" s="10">
        <v>0.17</v>
      </c>
      <c r="L38" s="10">
        <v>0</v>
      </c>
      <c r="M38" s="2" t="s">
        <v>433</v>
      </c>
      <c r="N38" s="2" t="s">
        <v>25</v>
      </c>
      <c r="O38" s="2" t="s">
        <v>24</v>
      </c>
      <c r="P38" s="2" t="s">
        <v>367</v>
      </c>
      <c r="Q38" s="2" t="s">
        <v>23</v>
      </c>
    </row>
    <row r="39" spans="1:17" x14ac:dyDescent="0.25">
      <c r="A39" s="2" t="s">
        <v>434</v>
      </c>
      <c r="B39" s="2" t="s">
        <v>435</v>
      </c>
      <c r="C39" s="5">
        <v>6200.9351399999996</v>
      </c>
      <c r="D39" s="3" t="b">
        <f>FALSE()</f>
        <v>0</v>
      </c>
      <c r="E39" s="3" t="b">
        <f>FALSE()</f>
        <v>0</v>
      </c>
      <c r="F39" s="2" t="s">
        <v>23</v>
      </c>
      <c r="G39" s="2" t="s">
        <v>364</v>
      </c>
      <c r="H39" s="2" t="s">
        <v>23</v>
      </c>
      <c r="I39" s="2" t="s">
        <v>365</v>
      </c>
      <c r="J39" s="3" t="b">
        <f>FALSE()</f>
        <v>0</v>
      </c>
      <c r="K39" s="10">
        <v>0.26500000000000001</v>
      </c>
      <c r="L39" s="10">
        <v>0</v>
      </c>
      <c r="M39" s="2" t="s">
        <v>436</v>
      </c>
      <c r="N39" s="2" t="s">
        <v>437</v>
      </c>
      <c r="O39" s="2" t="s">
        <v>24</v>
      </c>
      <c r="P39" s="2" t="s">
        <v>367</v>
      </c>
      <c r="Q39" s="2" t="s">
        <v>23</v>
      </c>
    </row>
    <row r="40" spans="1:17" x14ac:dyDescent="0.25">
      <c r="A40" s="2" t="s">
        <v>261</v>
      </c>
      <c r="B40" s="2" t="s">
        <v>438</v>
      </c>
      <c r="C40" s="5">
        <v>136.19983999999999</v>
      </c>
      <c r="D40" s="3" t="b">
        <f>TRUE()</f>
        <v>1</v>
      </c>
      <c r="E40" s="3" t="b">
        <f>FALSE()</f>
        <v>0</v>
      </c>
      <c r="F40" s="2" t="s">
        <v>23</v>
      </c>
      <c r="G40" s="2" t="s">
        <v>364</v>
      </c>
      <c r="H40" s="2" t="s">
        <v>23</v>
      </c>
      <c r="I40" s="2" t="s">
        <v>365</v>
      </c>
      <c r="J40" s="3" t="b">
        <f>FALSE()</f>
        <v>0</v>
      </c>
      <c r="K40" s="10">
        <v>4.26966</v>
      </c>
      <c r="L40" s="10">
        <v>0</v>
      </c>
      <c r="M40" s="2" t="s">
        <v>439</v>
      </c>
      <c r="N40" s="2" t="s">
        <v>25</v>
      </c>
      <c r="O40" s="2" t="s">
        <v>24</v>
      </c>
      <c r="P40" s="2" t="s">
        <v>367</v>
      </c>
      <c r="Q40" s="2" t="s">
        <v>23</v>
      </c>
    </row>
    <row r="41" spans="1:17" x14ac:dyDescent="0.25">
      <c r="A41" s="2" t="s">
        <v>264</v>
      </c>
      <c r="B41" s="2" t="s">
        <v>304</v>
      </c>
      <c r="C41" s="5">
        <v>3.5739999999999998</v>
      </c>
      <c r="D41" s="3" t="b">
        <f>TRUE()</f>
        <v>1</v>
      </c>
      <c r="E41" s="3" t="b">
        <f>FALSE()</f>
        <v>0</v>
      </c>
      <c r="F41" s="2" t="s">
        <v>23</v>
      </c>
      <c r="G41" s="2" t="s">
        <v>364</v>
      </c>
      <c r="H41" s="2" t="s">
        <v>23</v>
      </c>
      <c r="I41" s="2" t="s">
        <v>365</v>
      </c>
      <c r="J41" s="3" t="b">
        <f>TRUE()</f>
        <v>1</v>
      </c>
      <c r="K41" s="10">
        <v>20.67991</v>
      </c>
      <c r="L41" s="10">
        <v>20.68</v>
      </c>
      <c r="M41" s="2" t="s">
        <v>440</v>
      </c>
      <c r="N41" s="2" t="s">
        <v>25</v>
      </c>
      <c r="O41" s="2" t="s">
        <v>24</v>
      </c>
      <c r="P41" s="2" t="s">
        <v>367</v>
      </c>
      <c r="Q41" s="2" t="s">
        <v>23</v>
      </c>
    </row>
    <row r="42" spans="1:17" x14ac:dyDescent="0.25">
      <c r="A42" s="2" t="s">
        <v>267</v>
      </c>
      <c r="B42" s="2" t="s">
        <v>296</v>
      </c>
      <c r="C42" s="5">
        <v>25</v>
      </c>
      <c r="D42" s="3" t="b">
        <f>TRUE()</f>
        <v>1</v>
      </c>
      <c r="E42" s="3" t="b">
        <f>FALSE()</f>
        <v>0</v>
      </c>
      <c r="F42" s="2" t="s">
        <v>23</v>
      </c>
      <c r="G42" s="2" t="s">
        <v>364</v>
      </c>
      <c r="H42" s="2" t="s">
        <v>23</v>
      </c>
      <c r="I42" s="2" t="s">
        <v>365</v>
      </c>
      <c r="J42" s="3" t="b">
        <f>FALSE()</f>
        <v>0</v>
      </c>
      <c r="K42" s="10">
        <v>3.33955</v>
      </c>
      <c r="L42" s="10">
        <v>0</v>
      </c>
      <c r="M42" s="2" t="s">
        <v>439</v>
      </c>
      <c r="N42" s="2" t="s">
        <v>25</v>
      </c>
      <c r="O42" s="2" t="s">
        <v>24</v>
      </c>
      <c r="P42" s="2" t="s">
        <v>367</v>
      </c>
      <c r="Q42" s="2" t="s">
        <v>23</v>
      </c>
    </row>
    <row r="43" spans="1:17" x14ac:dyDescent="0.25">
      <c r="A43" s="2" t="s">
        <v>441</v>
      </c>
      <c r="B43" s="2" t="s">
        <v>442</v>
      </c>
      <c r="C43" s="5">
        <v>0</v>
      </c>
      <c r="D43" s="3" t="b">
        <f>FALSE()</f>
        <v>0</v>
      </c>
      <c r="E43" s="3" t="b">
        <f>FALSE()</f>
        <v>0</v>
      </c>
      <c r="F43" s="2" t="s">
        <v>23</v>
      </c>
      <c r="G43" s="2" t="s">
        <v>364</v>
      </c>
      <c r="H43" s="2" t="s">
        <v>23</v>
      </c>
      <c r="I43" s="2" t="s">
        <v>365</v>
      </c>
      <c r="J43" s="3" t="b">
        <f>TRUE()</f>
        <v>1</v>
      </c>
      <c r="K43" s="10">
        <v>0</v>
      </c>
      <c r="L43" s="10">
        <v>0</v>
      </c>
      <c r="M43" s="2" t="s">
        <v>443</v>
      </c>
      <c r="N43" s="2" t="s">
        <v>444</v>
      </c>
      <c r="O43" s="2" t="s">
        <v>24</v>
      </c>
      <c r="P43" s="2" t="s">
        <v>367</v>
      </c>
      <c r="Q43" s="2" t="s">
        <v>23</v>
      </c>
    </row>
    <row r="44" spans="1:17" x14ac:dyDescent="0.25">
      <c r="A44" s="2" t="s">
        <v>270</v>
      </c>
      <c r="B44" s="2" t="s">
        <v>445</v>
      </c>
      <c r="C44" s="5">
        <v>62.5</v>
      </c>
      <c r="D44" s="3" t="b">
        <f>TRUE()</f>
        <v>1</v>
      </c>
      <c r="E44" s="3" t="b">
        <f>FALSE()</f>
        <v>0</v>
      </c>
      <c r="F44" s="2" t="s">
        <v>23</v>
      </c>
      <c r="G44" s="2" t="s">
        <v>364</v>
      </c>
      <c r="H44" s="2" t="s">
        <v>23</v>
      </c>
      <c r="I44" s="2" t="s">
        <v>365</v>
      </c>
      <c r="J44" s="3" t="b">
        <f>FALSE()</f>
        <v>0</v>
      </c>
      <c r="K44" s="10">
        <v>8</v>
      </c>
      <c r="L44" s="10">
        <v>4.95</v>
      </c>
      <c r="M44" s="2" t="s">
        <v>446</v>
      </c>
      <c r="N44" s="2" t="s">
        <v>25</v>
      </c>
      <c r="O44" s="2" t="s">
        <v>24</v>
      </c>
      <c r="P44" s="2" t="s">
        <v>367</v>
      </c>
      <c r="Q44" s="2" t="s">
        <v>23</v>
      </c>
    </row>
    <row r="45" spans="1:17" x14ac:dyDescent="0.25">
      <c r="A45" s="2" t="s">
        <v>447</v>
      </c>
      <c r="B45" s="2" t="s">
        <v>448</v>
      </c>
      <c r="C45" s="5">
        <v>0</v>
      </c>
      <c r="D45" s="3" t="b">
        <f>FALSE()</f>
        <v>0</v>
      </c>
      <c r="E45" s="3" t="b">
        <f>FALSE()</f>
        <v>0</v>
      </c>
      <c r="F45" s="2" t="s">
        <v>23</v>
      </c>
      <c r="G45" s="2" t="s">
        <v>364</v>
      </c>
      <c r="H45" s="2" t="s">
        <v>23</v>
      </c>
      <c r="I45" s="2" t="s">
        <v>365</v>
      </c>
      <c r="J45" s="3" t="b">
        <f>TRUE()</f>
        <v>1</v>
      </c>
      <c r="K45" s="10">
        <v>0</v>
      </c>
      <c r="L45" s="10">
        <v>0</v>
      </c>
      <c r="M45" s="2" t="s">
        <v>449</v>
      </c>
      <c r="N45" s="2" t="s">
        <v>25</v>
      </c>
      <c r="O45" s="2" t="s">
        <v>24</v>
      </c>
      <c r="P45" s="2" t="s">
        <v>367</v>
      </c>
      <c r="Q45" s="2" t="s">
        <v>23</v>
      </c>
    </row>
    <row r="46" spans="1:17" x14ac:dyDescent="0.25">
      <c r="A46" s="2" t="s">
        <v>275</v>
      </c>
      <c r="B46" s="2" t="s">
        <v>302</v>
      </c>
      <c r="C46" s="5">
        <v>1.5</v>
      </c>
      <c r="D46" s="3" t="b">
        <f>TRUE()</f>
        <v>1</v>
      </c>
      <c r="E46" s="3" t="b">
        <f>FALSE()</f>
        <v>0</v>
      </c>
      <c r="F46" s="2" t="s">
        <v>23</v>
      </c>
      <c r="G46" s="2" t="s">
        <v>364</v>
      </c>
      <c r="H46" s="2" t="s">
        <v>23</v>
      </c>
      <c r="I46" s="2" t="s">
        <v>365</v>
      </c>
      <c r="J46" s="3" t="b">
        <f>TRUE()</f>
        <v>1</v>
      </c>
      <c r="K46" s="10">
        <v>13.72</v>
      </c>
      <c r="L46" s="10">
        <v>0</v>
      </c>
      <c r="M46" s="2" t="s">
        <v>440</v>
      </c>
      <c r="N46" s="2" t="s">
        <v>25</v>
      </c>
      <c r="O46" s="2" t="s">
        <v>24</v>
      </c>
      <c r="P46" s="2" t="s">
        <v>367</v>
      </c>
      <c r="Q46" s="2" t="s">
        <v>23</v>
      </c>
    </row>
    <row r="47" spans="1:17" x14ac:dyDescent="0.25">
      <c r="A47" s="2" t="s">
        <v>450</v>
      </c>
      <c r="B47" s="2" t="s">
        <v>451</v>
      </c>
      <c r="C47" s="5">
        <v>8.1999999999999993</v>
      </c>
      <c r="D47" s="3" t="b">
        <f>FALSE()</f>
        <v>0</v>
      </c>
      <c r="E47" s="3" t="b">
        <f>FALSE()</f>
        <v>0</v>
      </c>
      <c r="F47" s="2" t="s">
        <v>23</v>
      </c>
      <c r="G47" s="2" t="s">
        <v>364</v>
      </c>
      <c r="H47" s="2" t="s">
        <v>23</v>
      </c>
      <c r="I47" s="2" t="s">
        <v>365</v>
      </c>
      <c r="J47" s="3" t="b">
        <f>TRUE()</f>
        <v>1</v>
      </c>
      <c r="K47" s="10">
        <v>14.75</v>
      </c>
      <c r="L47" s="10">
        <v>0</v>
      </c>
      <c r="M47" s="2" t="s">
        <v>419</v>
      </c>
      <c r="N47" s="2" t="s">
        <v>93</v>
      </c>
      <c r="O47" s="2" t="s">
        <v>24</v>
      </c>
      <c r="P47" s="2" t="s">
        <v>367</v>
      </c>
      <c r="Q47" s="2" t="s">
        <v>23</v>
      </c>
    </row>
    <row r="48" spans="1:17" x14ac:dyDescent="0.25">
      <c r="A48" s="2" t="s">
        <v>41</v>
      </c>
      <c r="B48" s="2" t="s">
        <v>42</v>
      </c>
      <c r="C48" s="5">
        <v>457</v>
      </c>
      <c r="D48" s="3" t="b">
        <f>FALSE()</f>
        <v>0</v>
      </c>
      <c r="E48" s="3" t="b">
        <f>FALSE()</f>
        <v>0</v>
      </c>
      <c r="F48" s="2" t="s">
        <v>23</v>
      </c>
      <c r="G48" s="2" t="s">
        <v>364</v>
      </c>
      <c r="H48" s="2" t="s">
        <v>23</v>
      </c>
      <c r="I48" s="2" t="s">
        <v>365</v>
      </c>
      <c r="J48" s="3" t="b">
        <f>FALSE()</f>
        <v>0</v>
      </c>
      <c r="K48" s="10">
        <v>26.6</v>
      </c>
      <c r="L48" s="10">
        <v>0</v>
      </c>
      <c r="M48" s="2" t="s">
        <v>452</v>
      </c>
      <c r="N48" s="2" t="s">
        <v>25</v>
      </c>
      <c r="O48" s="2" t="s">
        <v>24</v>
      </c>
      <c r="P48" s="2" t="s">
        <v>367</v>
      </c>
      <c r="Q48" s="2" t="s">
        <v>23</v>
      </c>
    </row>
    <row r="49" spans="1:17" x14ac:dyDescent="0.25">
      <c r="A49" s="2" t="s">
        <v>453</v>
      </c>
      <c r="B49" s="2" t="s">
        <v>454</v>
      </c>
      <c r="C49" s="5">
        <v>0</v>
      </c>
      <c r="D49" s="3" t="b">
        <f>FALSE()</f>
        <v>0</v>
      </c>
      <c r="E49" s="3" t="b">
        <f>FALSE()</f>
        <v>0</v>
      </c>
      <c r="F49" s="2" t="s">
        <v>23</v>
      </c>
      <c r="G49" s="2" t="s">
        <v>364</v>
      </c>
      <c r="H49" s="2" t="s">
        <v>23</v>
      </c>
      <c r="I49" s="2" t="s">
        <v>365</v>
      </c>
      <c r="J49" s="3" t="b">
        <f>TRUE()</f>
        <v>1</v>
      </c>
      <c r="K49" s="10">
        <v>0</v>
      </c>
      <c r="L49" s="10">
        <v>0</v>
      </c>
      <c r="M49" s="2" t="s">
        <v>455</v>
      </c>
      <c r="N49" s="2" t="s">
        <v>23</v>
      </c>
      <c r="O49" s="2" t="s">
        <v>24</v>
      </c>
      <c r="P49" s="2" t="s">
        <v>367</v>
      </c>
      <c r="Q49" s="2" t="s">
        <v>23</v>
      </c>
    </row>
    <row r="50" spans="1:17" x14ac:dyDescent="0.25">
      <c r="A50" s="2" t="s">
        <v>43</v>
      </c>
      <c r="B50" s="2" t="s">
        <v>44</v>
      </c>
      <c r="C50" s="5">
        <v>101</v>
      </c>
      <c r="D50" s="3" t="b">
        <f>FALSE()</f>
        <v>0</v>
      </c>
      <c r="E50" s="3" t="b">
        <f>FALSE()</f>
        <v>0</v>
      </c>
      <c r="F50" s="2" t="s">
        <v>23</v>
      </c>
      <c r="G50" s="2" t="s">
        <v>364</v>
      </c>
      <c r="H50" s="2" t="s">
        <v>23</v>
      </c>
      <c r="I50" s="2" t="s">
        <v>365</v>
      </c>
      <c r="J50" s="3" t="b">
        <f>FALSE()</f>
        <v>0</v>
      </c>
      <c r="K50" s="10">
        <v>22.76</v>
      </c>
      <c r="L50" s="10">
        <v>0</v>
      </c>
      <c r="M50" s="2" t="s">
        <v>417</v>
      </c>
      <c r="N50" s="2" t="s">
        <v>25</v>
      </c>
      <c r="O50" s="2" t="s">
        <v>24</v>
      </c>
      <c r="P50" s="2" t="s">
        <v>367</v>
      </c>
      <c r="Q50" s="2" t="s">
        <v>23</v>
      </c>
    </row>
    <row r="51" spans="1:17" x14ac:dyDescent="0.25">
      <c r="A51" s="2" t="s">
        <v>278</v>
      </c>
      <c r="B51" s="2" t="s">
        <v>321</v>
      </c>
      <c r="C51" s="5">
        <v>67</v>
      </c>
      <c r="D51" s="3" t="b">
        <f>TRUE()</f>
        <v>1</v>
      </c>
      <c r="E51" s="3" t="b">
        <f>FALSE()</f>
        <v>0</v>
      </c>
      <c r="F51" s="2" t="s">
        <v>23</v>
      </c>
      <c r="G51" s="2" t="s">
        <v>364</v>
      </c>
      <c r="H51" s="2" t="s">
        <v>23</v>
      </c>
      <c r="I51" s="2" t="s">
        <v>365</v>
      </c>
      <c r="J51" s="3" t="b">
        <f>TRUE()</f>
        <v>1</v>
      </c>
      <c r="K51" s="10">
        <v>27</v>
      </c>
      <c r="L51" s="10">
        <v>0</v>
      </c>
      <c r="M51" s="2" t="s">
        <v>417</v>
      </c>
      <c r="N51" s="2" t="s">
        <v>25</v>
      </c>
      <c r="O51" s="2" t="s">
        <v>24</v>
      </c>
      <c r="P51" s="2" t="s">
        <v>367</v>
      </c>
      <c r="Q51" s="2" t="s">
        <v>23</v>
      </c>
    </row>
    <row r="52" spans="1:17" x14ac:dyDescent="0.25">
      <c r="A52" s="2" t="s">
        <v>45</v>
      </c>
      <c r="B52" s="2" t="s">
        <v>46</v>
      </c>
      <c r="C52" s="5">
        <v>100</v>
      </c>
      <c r="D52" s="3" t="b">
        <f>FALSE()</f>
        <v>0</v>
      </c>
      <c r="E52" s="3" t="b">
        <f>FALSE()</f>
        <v>0</v>
      </c>
      <c r="F52" s="2" t="s">
        <v>23</v>
      </c>
      <c r="G52" s="2" t="s">
        <v>364</v>
      </c>
      <c r="H52" s="2" t="s">
        <v>23</v>
      </c>
      <c r="I52" s="2" t="s">
        <v>365</v>
      </c>
      <c r="J52" s="3" t="b">
        <f>FALSE()</f>
        <v>0</v>
      </c>
      <c r="K52" s="10">
        <v>22.7</v>
      </c>
      <c r="L52" s="10">
        <v>0</v>
      </c>
      <c r="M52" s="2" t="s">
        <v>381</v>
      </c>
      <c r="N52" s="2" t="s">
        <v>25</v>
      </c>
      <c r="O52" s="2" t="s">
        <v>24</v>
      </c>
      <c r="P52" s="2" t="s">
        <v>367</v>
      </c>
      <c r="Q52" s="2" t="s">
        <v>23</v>
      </c>
    </row>
    <row r="53" spans="1:17" x14ac:dyDescent="0.25">
      <c r="A53" s="2" t="s">
        <v>281</v>
      </c>
      <c r="B53" s="2" t="s">
        <v>295</v>
      </c>
      <c r="C53" s="5">
        <v>3</v>
      </c>
      <c r="D53" s="3" t="b">
        <f>TRUE()</f>
        <v>1</v>
      </c>
      <c r="E53" s="3" t="b">
        <f>FALSE()</f>
        <v>0</v>
      </c>
      <c r="F53" s="2" t="s">
        <v>23</v>
      </c>
      <c r="G53" s="2" t="s">
        <v>364</v>
      </c>
      <c r="H53" s="2" t="s">
        <v>23</v>
      </c>
      <c r="I53" s="2" t="s">
        <v>365</v>
      </c>
      <c r="J53" s="3" t="b">
        <f>TRUE()</f>
        <v>1</v>
      </c>
      <c r="K53" s="10">
        <v>25.5</v>
      </c>
      <c r="L53" s="10">
        <v>0</v>
      </c>
      <c r="M53" s="2" t="s">
        <v>417</v>
      </c>
      <c r="N53" s="2" t="s">
        <v>25</v>
      </c>
      <c r="O53" s="2" t="s">
        <v>24</v>
      </c>
      <c r="P53" s="2" t="s">
        <v>367</v>
      </c>
      <c r="Q53" s="2" t="s">
        <v>23</v>
      </c>
    </row>
    <row r="54" spans="1:17" x14ac:dyDescent="0.25">
      <c r="A54" s="2" t="s">
        <v>47</v>
      </c>
      <c r="B54" s="2" t="s">
        <v>48</v>
      </c>
      <c r="C54" s="5">
        <v>111.25</v>
      </c>
      <c r="D54" s="3" t="b">
        <f>TRUE()</f>
        <v>1</v>
      </c>
      <c r="E54" s="3" t="b">
        <f>FALSE()</f>
        <v>0</v>
      </c>
      <c r="F54" s="2" t="s">
        <v>23</v>
      </c>
      <c r="G54" s="2" t="s">
        <v>364</v>
      </c>
      <c r="H54" s="2" t="s">
        <v>23</v>
      </c>
      <c r="I54" s="2" t="s">
        <v>365</v>
      </c>
      <c r="J54" s="3" t="b">
        <f>FALSE()</f>
        <v>0</v>
      </c>
      <c r="K54" s="10">
        <v>11.76</v>
      </c>
      <c r="L54" s="10">
        <v>0</v>
      </c>
      <c r="M54" s="2" t="s">
        <v>456</v>
      </c>
      <c r="N54" s="2" t="s">
        <v>25</v>
      </c>
      <c r="O54" s="2" t="s">
        <v>24</v>
      </c>
      <c r="P54" s="2" t="s">
        <v>367</v>
      </c>
      <c r="Q54" s="2" t="s">
        <v>23</v>
      </c>
    </row>
    <row r="55" spans="1:17" x14ac:dyDescent="0.25">
      <c r="A55" s="2" t="s">
        <v>457</v>
      </c>
      <c r="B55" s="2" t="s">
        <v>458</v>
      </c>
      <c r="C55" s="5">
        <v>13</v>
      </c>
      <c r="D55" s="3" t="b">
        <f>FALSE()</f>
        <v>0</v>
      </c>
      <c r="E55" s="3" t="b">
        <f>FALSE()</f>
        <v>0</v>
      </c>
      <c r="F55" s="2" t="s">
        <v>23</v>
      </c>
      <c r="G55" s="2" t="s">
        <v>364</v>
      </c>
      <c r="H55" s="2" t="s">
        <v>23</v>
      </c>
      <c r="I55" s="2" t="s">
        <v>365</v>
      </c>
      <c r="J55" s="3" t="b">
        <f>FALSE()</f>
        <v>0</v>
      </c>
      <c r="K55" s="10">
        <v>42</v>
      </c>
      <c r="L55" s="10">
        <v>0</v>
      </c>
      <c r="M55" s="2" t="s">
        <v>381</v>
      </c>
      <c r="N55" s="2" t="s">
        <v>25</v>
      </c>
      <c r="O55" s="2" t="s">
        <v>24</v>
      </c>
      <c r="P55" s="2" t="s">
        <v>367</v>
      </c>
      <c r="Q55" s="2" t="s">
        <v>23</v>
      </c>
    </row>
    <row r="56" spans="1:17" x14ac:dyDescent="0.25">
      <c r="A56" s="2" t="s">
        <v>49</v>
      </c>
      <c r="B56" s="2" t="s">
        <v>50</v>
      </c>
      <c r="C56" s="5">
        <v>0</v>
      </c>
      <c r="D56" s="3" t="b">
        <f>TRUE()</f>
        <v>1</v>
      </c>
      <c r="E56" s="3" t="b">
        <f>FALSE()</f>
        <v>0</v>
      </c>
      <c r="F56" s="2" t="s">
        <v>23</v>
      </c>
      <c r="G56" s="2" t="s">
        <v>364</v>
      </c>
      <c r="H56" s="2" t="s">
        <v>23</v>
      </c>
      <c r="I56" s="2" t="s">
        <v>365</v>
      </c>
      <c r="J56" s="3" t="b">
        <f>FALSE()</f>
        <v>0</v>
      </c>
      <c r="K56" s="10">
        <v>7.7515799999999997</v>
      </c>
      <c r="L56" s="10">
        <v>0</v>
      </c>
      <c r="M56" s="2" t="s">
        <v>459</v>
      </c>
      <c r="N56" s="2" t="s">
        <v>25</v>
      </c>
      <c r="O56" s="2" t="s">
        <v>24</v>
      </c>
      <c r="P56" s="2" t="s">
        <v>367</v>
      </c>
      <c r="Q56" s="2" t="s">
        <v>23</v>
      </c>
    </row>
    <row r="57" spans="1:17" x14ac:dyDescent="0.25">
      <c r="A57" s="2" t="s">
        <v>51</v>
      </c>
      <c r="B57" s="2" t="s">
        <v>52</v>
      </c>
      <c r="C57" s="5">
        <v>25.001740000000002</v>
      </c>
      <c r="D57" s="3" t="b">
        <f>FALSE()</f>
        <v>0</v>
      </c>
      <c r="E57" s="3" t="b">
        <f>FALSE()</f>
        <v>0</v>
      </c>
      <c r="F57" s="2" t="s">
        <v>23</v>
      </c>
      <c r="G57" s="2" t="s">
        <v>364</v>
      </c>
      <c r="H57" s="2" t="s">
        <v>23</v>
      </c>
      <c r="I57" s="2" t="s">
        <v>365</v>
      </c>
      <c r="J57" s="3" t="b">
        <f>FALSE()</f>
        <v>0</v>
      </c>
      <c r="K57" s="10">
        <v>6.97</v>
      </c>
      <c r="L57" s="10">
        <v>0</v>
      </c>
      <c r="M57" s="2" t="s">
        <v>460</v>
      </c>
      <c r="N57" s="2" t="s">
        <v>25</v>
      </c>
      <c r="O57" s="2" t="s">
        <v>24</v>
      </c>
      <c r="P57" s="2" t="s">
        <v>367</v>
      </c>
      <c r="Q57" s="2" t="s">
        <v>23</v>
      </c>
    </row>
    <row r="58" spans="1:17" x14ac:dyDescent="0.25">
      <c r="A58" s="2" t="s">
        <v>461</v>
      </c>
      <c r="B58" s="2" t="s">
        <v>462</v>
      </c>
      <c r="C58" s="5">
        <v>6.4242499999999998</v>
      </c>
      <c r="D58" s="3" t="b">
        <f>FALSE()</f>
        <v>0</v>
      </c>
      <c r="E58" s="3" t="b">
        <f>FALSE()</f>
        <v>0</v>
      </c>
      <c r="F58" s="2" t="s">
        <v>23</v>
      </c>
      <c r="G58" s="2" t="s">
        <v>364</v>
      </c>
      <c r="H58" s="2" t="s">
        <v>23</v>
      </c>
      <c r="I58" s="2" t="s">
        <v>365</v>
      </c>
      <c r="J58" s="3" t="b">
        <f>FALSE()</f>
        <v>0</v>
      </c>
      <c r="K58" s="10">
        <v>38.050620000000002</v>
      </c>
      <c r="L58" s="10">
        <v>0</v>
      </c>
      <c r="M58" s="2" t="s">
        <v>381</v>
      </c>
      <c r="N58" s="2" t="s">
        <v>25</v>
      </c>
      <c r="O58" s="2" t="s">
        <v>24</v>
      </c>
      <c r="P58" s="2" t="s">
        <v>367</v>
      </c>
      <c r="Q58" s="2" t="s">
        <v>23</v>
      </c>
    </row>
    <row r="59" spans="1:17" x14ac:dyDescent="0.25">
      <c r="A59" s="2" t="s">
        <v>286</v>
      </c>
      <c r="B59" s="2" t="s">
        <v>301</v>
      </c>
      <c r="C59" s="5">
        <v>0</v>
      </c>
      <c r="D59" s="3" t="b">
        <f>TRUE()</f>
        <v>1</v>
      </c>
      <c r="E59" s="3" t="b">
        <f>FALSE()</f>
        <v>0</v>
      </c>
      <c r="F59" s="2" t="s">
        <v>23</v>
      </c>
      <c r="G59" s="2" t="s">
        <v>364</v>
      </c>
      <c r="H59" s="2" t="s">
        <v>23</v>
      </c>
      <c r="I59" s="2" t="s">
        <v>365</v>
      </c>
      <c r="J59" s="3" t="b">
        <f>TRUE()</f>
        <v>1</v>
      </c>
      <c r="K59" s="10">
        <v>7.5</v>
      </c>
      <c r="L59" s="10">
        <v>0</v>
      </c>
      <c r="M59" s="2" t="s">
        <v>463</v>
      </c>
      <c r="N59" s="2" t="s">
        <v>93</v>
      </c>
      <c r="O59" s="2" t="s">
        <v>24</v>
      </c>
      <c r="P59" s="2" t="s">
        <v>367</v>
      </c>
      <c r="Q59" s="2" t="s">
        <v>23</v>
      </c>
    </row>
    <row r="60" spans="1:17" x14ac:dyDescent="0.25">
      <c r="A60" s="2" t="s">
        <v>464</v>
      </c>
      <c r="B60" s="2" t="s">
        <v>465</v>
      </c>
      <c r="C60" s="5">
        <v>36.40005</v>
      </c>
      <c r="D60" s="3" t="b">
        <f>FALSE()</f>
        <v>0</v>
      </c>
      <c r="E60" s="3" t="b">
        <f>FALSE()</f>
        <v>0</v>
      </c>
      <c r="F60" s="2" t="s">
        <v>23</v>
      </c>
      <c r="G60" s="2" t="s">
        <v>364</v>
      </c>
      <c r="H60" s="2" t="s">
        <v>23</v>
      </c>
      <c r="I60" s="2" t="s">
        <v>365</v>
      </c>
      <c r="J60" s="3" t="b">
        <f>FALSE()</f>
        <v>0</v>
      </c>
      <c r="K60" s="10">
        <v>20.028759999999998</v>
      </c>
      <c r="L60" s="10">
        <v>0</v>
      </c>
      <c r="M60" s="2" t="s">
        <v>466</v>
      </c>
      <c r="N60" s="2" t="s">
        <v>164</v>
      </c>
      <c r="O60" s="2" t="s">
        <v>24</v>
      </c>
      <c r="P60" s="2" t="s">
        <v>367</v>
      </c>
      <c r="Q60" s="2" t="s">
        <v>23</v>
      </c>
    </row>
    <row r="61" spans="1:17" x14ac:dyDescent="0.25">
      <c r="A61" s="2" t="s">
        <v>53</v>
      </c>
      <c r="B61" s="2" t="s">
        <v>54</v>
      </c>
      <c r="C61" s="5">
        <v>0</v>
      </c>
      <c r="D61" s="3" t="b">
        <f>FALSE()</f>
        <v>0</v>
      </c>
      <c r="E61" s="3" t="b">
        <f>FALSE()</f>
        <v>0</v>
      </c>
      <c r="F61" s="2" t="s">
        <v>23</v>
      </c>
      <c r="G61" s="2" t="s">
        <v>364</v>
      </c>
      <c r="H61" s="2" t="s">
        <v>23</v>
      </c>
      <c r="I61" s="2" t="s">
        <v>365</v>
      </c>
      <c r="J61" s="3" t="b">
        <f>FALSE()</f>
        <v>0</v>
      </c>
      <c r="K61" s="10">
        <v>3.95059</v>
      </c>
      <c r="L61" s="10">
        <v>3.95</v>
      </c>
      <c r="M61" s="2" t="s">
        <v>467</v>
      </c>
      <c r="N61" s="2" t="s">
        <v>55</v>
      </c>
      <c r="O61" s="2" t="s">
        <v>24</v>
      </c>
      <c r="P61" s="2" t="s">
        <v>367</v>
      </c>
      <c r="Q61" s="2" t="s">
        <v>23</v>
      </c>
    </row>
    <row r="62" spans="1:17" x14ac:dyDescent="0.25">
      <c r="A62" s="2" t="s">
        <v>56</v>
      </c>
      <c r="B62" s="2" t="s">
        <v>57</v>
      </c>
      <c r="C62" s="5">
        <v>79.86</v>
      </c>
      <c r="D62" s="3" t="b">
        <f>FALSE()</f>
        <v>0</v>
      </c>
      <c r="E62" s="3" t="b">
        <f>FALSE()</f>
        <v>0</v>
      </c>
      <c r="F62" s="2" t="s">
        <v>23</v>
      </c>
      <c r="G62" s="2" t="s">
        <v>364</v>
      </c>
      <c r="H62" s="2" t="s">
        <v>23</v>
      </c>
      <c r="I62" s="2" t="s">
        <v>365</v>
      </c>
      <c r="J62" s="3" t="b">
        <f>FALSE()</f>
        <v>0</v>
      </c>
      <c r="K62" s="10">
        <v>16.820160000000001</v>
      </c>
      <c r="L62" s="10">
        <v>0</v>
      </c>
      <c r="M62" s="2" t="s">
        <v>468</v>
      </c>
      <c r="N62" s="2" t="s">
        <v>25</v>
      </c>
      <c r="O62" s="2" t="s">
        <v>24</v>
      </c>
      <c r="P62" s="2" t="s">
        <v>367</v>
      </c>
      <c r="Q62" s="2" t="s">
        <v>23</v>
      </c>
    </row>
    <row r="63" spans="1:17" x14ac:dyDescent="0.25">
      <c r="A63" s="2" t="s">
        <v>289</v>
      </c>
      <c r="B63" s="2" t="s">
        <v>308</v>
      </c>
      <c r="C63" s="5">
        <v>0</v>
      </c>
      <c r="D63" s="3" t="b">
        <f>TRUE()</f>
        <v>1</v>
      </c>
      <c r="E63" s="3" t="b">
        <f>FALSE()</f>
        <v>0</v>
      </c>
      <c r="F63" s="2" t="s">
        <v>23</v>
      </c>
      <c r="G63" s="2" t="s">
        <v>364</v>
      </c>
      <c r="H63" s="2" t="s">
        <v>23</v>
      </c>
      <c r="I63" s="2" t="s">
        <v>365</v>
      </c>
      <c r="J63" s="3" t="b">
        <f>TRUE()</f>
        <v>1</v>
      </c>
      <c r="K63" s="10">
        <v>605.77300000000002</v>
      </c>
      <c r="L63" s="10">
        <v>0</v>
      </c>
      <c r="M63" s="2" t="s">
        <v>381</v>
      </c>
      <c r="N63" s="2" t="s">
        <v>469</v>
      </c>
      <c r="O63" s="2" t="s">
        <v>24</v>
      </c>
      <c r="P63" s="2" t="s">
        <v>367</v>
      </c>
      <c r="Q63" s="2" t="s">
        <v>23</v>
      </c>
    </row>
    <row r="64" spans="1:17" x14ac:dyDescent="0.25">
      <c r="A64" s="2" t="s">
        <v>58</v>
      </c>
      <c r="B64" s="2" t="s">
        <v>59</v>
      </c>
      <c r="C64" s="5">
        <v>24</v>
      </c>
      <c r="D64" s="3" t="b">
        <f>FALSE()</f>
        <v>0</v>
      </c>
      <c r="E64" s="3" t="b">
        <f>FALSE()</f>
        <v>0</v>
      </c>
      <c r="F64" s="2" t="s">
        <v>23</v>
      </c>
      <c r="G64" s="2" t="s">
        <v>364</v>
      </c>
      <c r="H64" s="2" t="s">
        <v>23</v>
      </c>
      <c r="I64" s="2" t="s">
        <v>365</v>
      </c>
      <c r="J64" s="3" t="b">
        <f>TRUE()</f>
        <v>1</v>
      </c>
      <c r="K64" s="10">
        <v>27</v>
      </c>
      <c r="L64" s="10">
        <v>0</v>
      </c>
      <c r="M64" s="2" t="s">
        <v>417</v>
      </c>
      <c r="N64" s="2" t="s">
        <v>25</v>
      </c>
      <c r="O64" s="2" t="s">
        <v>24</v>
      </c>
      <c r="P64" s="2" t="s">
        <v>367</v>
      </c>
      <c r="Q64" s="2" t="s">
        <v>23</v>
      </c>
    </row>
    <row r="65" spans="1:17" x14ac:dyDescent="0.25">
      <c r="A65" s="2" t="s">
        <v>470</v>
      </c>
      <c r="B65" s="2" t="s">
        <v>471</v>
      </c>
      <c r="C65" s="5">
        <v>0</v>
      </c>
      <c r="D65" s="3" t="b">
        <f>FALSE()</f>
        <v>0</v>
      </c>
      <c r="E65" s="3" t="b">
        <f>FALSE()</f>
        <v>0</v>
      </c>
      <c r="F65" s="2" t="s">
        <v>23</v>
      </c>
      <c r="G65" s="2" t="s">
        <v>364</v>
      </c>
      <c r="H65" s="2" t="s">
        <v>23</v>
      </c>
      <c r="I65" s="2" t="s">
        <v>365</v>
      </c>
      <c r="J65" s="3" t="b">
        <f>TRUE()</f>
        <v>1</v>
      </c>
      <c r="K65" s="10">
        <v>0</v>
      </c>
      <c r="L65" s="10">
        <v>0</v>
      </c>
      <c r="M65" s="2" t="s">
        <v>472</v>
      </c>
      <c r="N65" s="2" t="s">
        <v>93</v>
      </c>
      <c r="O65" s="2" t="s">
        <v>473</v>
      </c>
      <c r="P65" s="2" t="s">
        <v>367</v>
      </c>
      <c r="Q65" s="2" t="s">
        <v>23</v>
      </c>
    </row>
    <row r="66" spans="1:17" x14ac:dyDescent="0.25">
      <c r="A66" s="2" t="s">
        <v>271</v>
      </c>
      <c r="B66" s="2" t="s">
        <v>272</v>
      </c>
      <c r="C66" s="5">
        <v>0</v>
      </c>
      <c r="D66" s="3" t="b">
        <f>TRUE()</f>
        <v>1</v>
      </c>
      <c r="E66" s="3" t="b">
        <f>FALSE()</f>
        <v>0</v>
      </c>
      <c r="F66" s="2" t="s">
        <v>23</v>
      </c>
      <c r="G66" s="2" t="s">
        <v>364</v>
      </c>
      <c r="H66" s="2" t="s">
        <v>23</v>
      </c>
      <c r="I66" s="2" t="s">
        <v>365</v>
      </c>
      <c r="J66" s="3" t="b">
        <f>TRUE()</f>
        <v>1</v>
      </c>
      <c r="K66" s="10">
        <v>0</v>
      </c>
      <c r="L66" s="10">
        <v>0</v>
      </c>
      <c r="M66" s="2" t="s">
        <v>446</v>
      </c>
      <c r="N66" s="2" t="s">
        <v>373</v>
      </c>
      <c r="O66" s="2" t="s">
        <v>24</v>
      </c>
      <c r="P66" s="2" t="s">
        <v>367</v>
      </c>
      <c r="Q66" s="2" t="s">
        <v>23</v>
      </c>
    </row>
    <row r="67" spans="1:17" x14ac:dyDescent="0.25">
      <c r="A67" s="2" t="s">
        <v>474</v>
      </c>
      <c r="B67" s="2" t="s">
        <v>475</v>
      </c>
      <c r="C67" s="5">
        <v>0</v>
      </c>
      <c r="D67" s="3" t="b">
        <f>FALSE()</f>
        <v>0</v>
      </c>
      <c r="E67" s="3" t="b">
        <f>FALSE()</f>
        <v>0</v>
      </c>
      <c r="F67" s="2" t="s">
        <v>23</v>
      </c>
      <c r="G67" s="2" t="s">
        <v>364</v>
      </c>
      <c r="H67" s="2" t="s">
        <v>23</v>
      </c>
      <c r="I67" s="2" t="s">
        <v>365</v>
      </c>
      <c r="J67" s="3" t="b">
        <f>TRUE()</f>
        <v>1</v>
      </c>
      <c r="K67" s="10">
        <v>0</v>
      </c>
      <c r="L67" s="10">
        <v>0</v>
      </c>
      <c r="M67" s="2" t="s">
        <v>476</v>
      </c>
      <c r="N67" s="2" t="s">
        <v>477</v>
      </c>
      <c r="O67" s="2" t="s">
        <v>24</v>
      </c>
      <c r="P67" s="2" t="s">
        <v>367</v>
      </c>
      <c r="Q67" s="2" t="s">
        <v>23</v>
      </c>
    </row>
    <row r="68" spans="1:17" x14ac:dyDescent="0.25">
      <c r="A68" s="2" t="s">
        <v>478</v>
      </c>
      <c r="B68" s="2" t="s">
        <v>479</v>
      </c>
      <c r="C68" s="5">
        <v>0</v>
      </c>
      <c r="D68" s="3" t="b">
        <f>FALSE()</f>
        <v>0</v>
      </c>
      <c r="E68" s="3" t="b">
        <f>FALSE()</f>
        <v>0</v>
      </c>
      <c r="F68" s="2" t="s">
        <v>23</v>
      </c>
      <c r="G68" s="2" t="s">
        <v>364</v>
      </c>
      <c r="H68" s="2" t="s">
        <v>23</v>
      </c>
      <c r="I68" s="2" t="s">
        <v>365</v>
      </c>
      <c r="J68" s="3" t="b">
        <f>TRUE()</f>
        <v>1</v>
      </c>
      <c r="K68" s="10">
        <v>0</v>
      </c>
      <c r="L68" s="10">
        <v>0</v>
      </c>
      <c r="M68" s="2" t="s">
        <v>480</v>
      </c>
      <c r="N68" s="2" t="s">
        <v>373</v>
      </c>
      <c r="O68" s="2" t="s">
        <v>24</v>
      </c>
      <c r="P68" s="2" t="s">
        <v>367</v>
      </c>
      <c r="Q68" s="2" t="s">
        <v>23</v>
      </c>
    </row>
    <row r="69" spans="1:17" x14ac:dyDescent="0.25">
      <c r="A69" s="2" t="s">
        <v>60</v>
      </c>
      <c r="B69" s="2" t="s">
        <v>61</v>
      </c>
      <c r="C69" s="5">
        <v>4</v>
      </c>
      <c r="D69" s="3" t="b">
        <f>TRUE()</f>
        <v>1</v>
      </c>
      <c r="E69" s="3" t="b">
        <f>FALSE()</f>
        <v>0</v>
      </c>
      <c r="F69" s="2" t="s">
        <v>23</v>
      </c>
      <c r="G69" s="2" t="s">
        <v>364</v>
      </c>
      <c r="H69" s="2" t="s">
        <v>23</v>
      </c>
      <c r="I69" s="2" t="s">
        <v>365</v>
      </c>
      <c r="J69" s="3" t="b">
        <f>TRUE()</f>
        <v>1</v>
      </c>
      <c r="K69" s="10">
        <v>30.3</v>
      </c>
      <c r="L69" s="10">
        <v>0</v>
      </c>
      <c r="M69" s="2" t="s">
        <v>381</v>
      </c>
      <c r="N69" s="2" t="s">
        <v>62</v>
      </c>
      <c r="O69" s="2" t="s">
        <v>24</v>
      </c>
      <c r="P69" s="2" t="s">
        <v>367</v>
      </c>
      <c r="Q69" s="2" t="s">
        <v>23</v>
      </c>
    </row>
    <row r="70" spans="1:17" x14ac:dyDescent="0.25">
      <c r="A70" s="2" t="s">
        <v>481</v>
      </c>
      <c r="B70" s="2" t="s">
        <v>482</v>
      </c>
      <c r="C70" s="5">
        <v>0</v>
      </c>
      <c r="D70" s="3" t="b">
        <f>FALSE()</f>
        <v>0</v>
      </c>
      <c r="E70" s="3" t="b">
        <f>FALSE()</f>
        <v>0</v>
      </c>
      <c r="F70" s="2" t="s">
        <v>23</v>
      </c>
      <c r="G70" s="2" t="s">
        <v>364</v>
      </c>
      <c r="H70" s="2" t="s">
        <v>23</v>
      </c>
      <c r="I70" s="2" t="s">
        <v>365</v>
      </c>
      <c r="J70" s="3" t="b">
        <f>TRUE()</f>
        <v>1</v>
      </c>
      <c r="K70" s="10">
        <v>0</v>
      </c>
      <c r="L70" s="10">
        <v>0</v>
      </c>
      <c r="M70" s="2" t="s">
        <v>483</v>
      </c>
      <c r="N70" s="2" t="s">
        <v>484</v>
      </c>
      <c r="O70" s="2" t="s">
        <v>24</v>
      </c>
      <c r="P70" s="2" t="s">
        <v>367</v>
      </c>
      <c r="Q70" s="2" t="s">
        <v>23</v>
      </c>
    </row>
    <row r="71" spans="1:17" x14ac:dyDescent="0.25">
      <c r="A71" s="2" t="s">
        <v>485</v>
      </c>
      <c r="B71" s="2" t="s">
        <v>486</v>
      </c>
      <c r="C71" s="5">
        <v>0</v>
      </c>
      <c r="D71" s="3" t="b">
        <f>FALSE()</f>
        <v>0</v>
      </c>
      <c r="E71" s="3" t="b">
        <f>FALSE()</f>
        <v>0</v>
      </c>
      <c r="F71" s="2" t="s">
        <v>23</v>
      </c>
      <c r="G71" s="2" t="s">
        <v>364</v>
      </c>
      <c r="H71" s="2" t="s">
        <v>23</v>
      </c>
      <c r="I71" s="2" t="s">
        <v>487</v>
      </c>
      <c r="J71" s="3" t="b">
        <f>TRUE()</f>
        <v>1</v>
      </c>
      <c r="K71" s="10">
        <v>2.9000000000000001E-2</v>
      </c>
      <c r="L71" s="10">
        <v>0</v>
      </c>
      <c r="M71" s="2" t="s">
        <v>419</v>
      </c>
      <c r="N71" s="2" t="s">
        <v>488</v>
      </c>
      <c r="O71" s="2" t="s">
        <v>24</v>
      </c>
      <c r="P71" s="2" t="s">
        <v>367</v>
      </c>
      <c r="Q71" s="2" t="s">
        <v>23</v>
      </c>
    </row>
    <row r="72" spans="1:17" x14ac:dyDescent="0.25">
      <c r="A72" s="2" t="s">
        <v>63</v>
      </c>
      <c r="B72" s="2" t="s">
        <v>64</v>
      </c>
      <c r="C72" s="5">
        <v>465</v>
      </c>
      <c r="D72" s="3" t="b">
        <f>FALSE()</f>
        <v>0</v>
      </c>
      <c r="E72" s="3" t="b">
        <f>FALSE()</f>
        <v>0</v>
      </c>
      <c r="F72" s="2" t="s">
        <v>23</v>
      </c>
      <c r="G72" s="2" t="s">
        <v>364</v>
      </c>
      <c r="H72" s="2" t="s">
        <v>23</v>
      </c>
      <c r="I72" s="2" t="s">
        <v>365</v>
      </c>
      <c r="J72" s="3" t="b">
        <f>FALSE()</f>
        <v>0</v>
      </c>
      <c r="K72" s="10">
        <v>7.6</v>
      </c>
      <c r="L72" s="10">
        <v>0</v>
      </c>
      <c r="M72" s="2" t="s">
        <v>489</v>
      </c>
      <c r="N72" s="2" t="s">
        <v>25</v>
      </c>
      <c r="O72" s="2" t="s">
        <v>24</v>
      </c>
      <c r="P72" s="2" t="s">
        <v>367</v>
      </c>
      <c r="Q72" s="2" t="s">
        <v>23</v>
      </c>
    </row>
    <row r="73" spans="1:17" x14ac:dyDescent="0.25">
      <c r="A73" s="2" t="s">
        <v>65</v>
      </c>
      <c r="B73" s="2" t="s">
        <v>66</v>
      </c>
      <c r="C73" s="5">
        <v>56.25</v>
      </c>
      <c r="D73" s="3" t="b">
        <f>FALSE()</f>
        <v>0</v>
      </c>
      <c r="E73" s="3" t="b">
        <f>FALSE()</f>
        <v>0</v>
      </c>
      <c r="F73" s="2" t="s">
        <v>23</v>
      </c>
      <c r="G73" s="2" t="s">
        <v>364</v>
      </c>
      <c r="H73" s="2" t="s">
        <v>23</v>
      </c>
      <c r="I73" s="2" t="s">
        <v>365</v>
      </c>
      <c r="J73" s="3" t="b">
        <f>FALSE()</f>
        <v>0</v>
      </c>
      <c r="K73" s="10">
        <v>21</v>
      </c>
      <c r="L73" s="10">
        <v>21</v>
      </c>
      <c r="M73" s="2" t="s">
        <v>381</v>
      </c>
      <c r="N73" s="2" t="s">
        <v>25</v>
      </c>
      <c r="O73" s="2" t="s">
        <v>24</v>
      </c>
      <c r="P73" s="2" t="s">
        <v>367</v>
      </c>
      <c r="Q73" s="2" t="s">
        <v>23</v>
      </c>
    </row>
    <row r="74" spans="1:17" x14ac:dyDescent="0.25">
      <c r="A74" s="2" t="s">
        <v>67</v>
      </c>
      <c r="B74" s="2" t="s">
        <v>68</v>
      </c>
      <c r="C74" s="5">
        <v>265.7482</v>
      </c>
      <c r="D74" s="3" t="b">
        <f>FALSE()</f>
        <v>0</v>
      </c>
      <c r="E74" s="3" t="b">
        <f>FALSE()</f>
        <v>0</v>
      </c>
      <c r="F74" s="2" t="s">
        <v>23</v>
      </c>
      <c r="G74" s="2" t="s">
        <v>364</v>
      </c>
      <c r="H74" s="2" t="s">
        <v>23</v>
      </c>
      <c r="I74" s="2" t="s">
        <v>365</v>
      </c>
      <c r="J74" s="3" t="b">
        <f>FALSE()</f>
        <v>0</v>
      </c>
      <c r="K74" s="10">
        <v>82.849990000000005</v>
      </c>
      <c r="L74" s="10">
        <v>82.85</v>
      </c>
      <c r="M74" s="2" t="s">
        <v>417</v>
      </c>
      <c r="N74" s="2" t="s">
        <v>25</v>
      </c>
      <c r="O74" s="2" t="s">
        <v>24</v>
      </c>
      <c r="P74" s="2" t="s">
        <v>367</v>
      </c>
      <c r="Q74" s="2" t="s">
        <v>23</v>
      </c>
    </row>
    <row r="75" spans="1:17" x14ac:dyDescent="0.25">
      <c r="A75" s="2" t="s">
        <v>69</v>
      </c>
      <c r="B75" s="2" t="s">
        <v>70</v>
      </c>
      <c r="C75" s="5">
        <v>0</v>
      </c>
      <c r="D75" s="3" t="b">
        <f>TRUE()</f>
        <v>1</v>
      </c>
      <c r="E75" s="3" t="b">
        <f>FALSE()</f>
        <v>0</v>
      </c>
      <c r="F75" s="2" t="s">
        <v>23</v>
      </c>
      <c r="G75" s="2" t="s">
        <v>364</v>
      </c>
      <c r="H75" s="2" t="s">
        <v>23</v>
      </c>
      <c r="I75" s="2" t="s">
        <v>365</v>
      </c>
      <c r="J75" s="3" t="b">
        <f>FALSE()</f>
        <v>0</v>
      </c>
      <c r="K75" s="10">
        <v>38</v>
      </c>
      <c r="L75" s="10">
        <v>36.1</v>
      </c>
      <c r="M75" s="2" t="s">
        <v>417</v>
      </c>
      <c r="N75" s="2" t="s">
        <v>25</v>
      </c>
      <c r="O75" s="2" t="s">
        <v>24</v>
      </c>
      <c r="P75" s="2" t="s">
        <v>367</v>
      </c>
      <c r="Q75" s="2" t="s">
        <v>23</v>
      </c>
    </row>
    <row r="76" spans="1:17" x14ac:dyDescent="0.25">
      <c r="A76" s="2" t="s">
        <v>294</v>
      </c>
      <c r="B76" s="2" t="s">
        <v>322</v>
      </c>
      <c r="C76" s="5">
        <v>81.34</v>
      </c>
      <c r="D76" s="3" t="b">
        <f>TRUE()</f>
        <v>1</v>
      </c>
      <c r="E76" s="3" t="b">
        <f>FALSE()</f>
        <v>0</v>
      </c>
      <c r="F76" s="2" t="s">
        <v>23</v>
      </c>
      <c r="G76" s="2" t="s">
        <v>364</v>
      </c>
      <c r="H76" s="2" t="s">
        <v>23</v>
      </c>
      <c r="I76" s="2" t="s">
        <v>365</v>
      </c>
      <c r="J76" s="3" t="b">
        <f>FALSE()</f>
        <v>0</v>
      </c>
      <c r="K76" s="10">
        <v>1.2</v>
      </c>
      <c r="L76" s="10">
        <v>0</v>
      </c>
      <c r="M76" s="2" t="s">
        <v>490</v>
      </c>
      <c r="N76" s="2" t="s">
        <v>385</v>
      </c>
      <c r="O76" s="2" t="s">
        <v>24</v>
      </c>
      <c r="P76" s="2" t="s">
        <v>367</v>
      </c>
      <c r="Q76" s="2" t="s">
        <v>23</v>
      </c>
    </row>
    <row r="77" spans="1:17" x14ac:dyDescent="0.25">
      <c r="A77" s="2" t="s">
        <v>71</v>
      </c>
      <c r="B77" s="2" t="s">
        <v>72</v>
      </c>
      <c r="C77" s="5">
        <v>17.5</v>
      </c>
      <c r="D77" s="3" t="b">
        <f>FALSE()</f>
        <v>0</v>
      </c>
      <c r="E77" s="3" t="b">
        <f>FALSE()</f>
        <v>0</v>
      </c>
      <c r="F77" s="2" t="s">
        <v>23</v>
      </c>
      <c r="G77" s="2" t="s">
        <v>364</v>
      </c>
      <c r="H77" s="2" t="s">
        <v>23</v>
      </c>
      <c r="I77" s="2" t="s">
        <v>365</v>
      </c>
      <c r="J77" s="3" t="b">
        <f>TRUE()</f>
        <v>1</v>
      </c>
      <c r="K77" s="10">
        <v>21.44971</v>
      </c>
      <c r="L77" s="10">
        <v>21.45</v>
      </c>
      <c r="M77" s="2" t="s">
        <v>491</v>
      </c>
      <c r="N77" s="2" t="s">
        <v>55</v>
      </c>
      <c r="O77" s="2" t="s">
        <v>24</v>
      </c>
      <c r="P77" s="2" t="s">
        <v>367</v>
      </c>
      <c r="Q77" s="2" t="s">
        <v>23</v>
      </c>
    </row>
    <row r="78" spans="1:17" x14ac:dyDescent="0.25">
      <c r="A78" s="2" t="s">
        <v>73</v>
      </c>
      <c r="B78" s="2" t="s">
        <v>74</v>
      </c>
      <c r="C78" s="5">
        <v>0</v>
      </c>
      <c r="D78" s="3" t="b">
        <f>FALSE()</f>
        <v>0</v>
      </c>
      <c r="E78" s="3" t="b">
        <f>FALSE()</f>
        <v>0</v>
      </c>
      <c r="F78" s="2" t="s">
        <v>23</v>
      </c>
      <c r="G78" s="2" t="s">
        <v>364</v>
      </c>
      <c r="H78" s="2" t="s">
        <v>23</v>
      </c>
      <c r="I78" s="2" t="s">
        <v>365</v>
      </c>
      <c r="J78" s="3" t="b">
        <f>FALSE()</f>
        <v>0</v>
      </c>
      <c r="K78" s="10">
        <v>25.149709999999999</v>
      </c>
      <c r="L78" s="10">
        <v>25.15</v>
      </c>
      <c r="M78" s="2" t="s">
        <v>491</v>
      </c>
      <c r="N78" s="2" t="s">
        <v>55</v>
      </c>
      <c r="O78" s="2" t="s">
        <v>24</v>
      </c>
      <c r="P78" s="2" t="s">
        <v>367</v>
      </c>
      <c r="Q78" s="2" t="s">
        <v>23</v>
      </c>
    </row>
    <row r="79" spans="1:17" x14ac:dyDescent="0.25">
      <c r="A79" s="2" t="s">
        <v>75</v>
      </c>
      <c r="B79" s="2" t="s">
        <v>76</v>
      </c>
      <c r="C79" s="5">
        <v>108</v>
      </c>
      <c r="D79" s="3" t="b">
        <f>FALSE()</f>
        <v>0</v>
      </c>
      <c r="E79" s="3" t="b">
        <f>FALSE()</f>
        <v>0</v>
      </c>
      <c r="F79" s="2" t="s">
        <v>23</v>
      </c>
      <c r="G79" s="2" t="s">
        <v>364</v>
      </c>
      <c r="H79" s="2" t="s">
        <v>23</v>
      </c>
      <c r="I79" s="2" t="s">
        <v>365</v>
      </c>
      <c r="J79" s="3" t="b">
        <f>FALSE()</f>
        <v>0</v>
      </c>
      <c r="K79" s="10">
        <v>56</v>
      </c>
      <c r="L79" s="10">
        <v>0</v>
      </c>
      <c r="M79" s="2" t="s">
        <v>381</v>
      </c>
      <c r="N79" s="2" t="s">
        <v>25</v>
      </c>
      <c r="O79" s="2" t="s">
        <v>24</v>
      </c>
      <c r="P79" s="2" t="s">
        <v>367</v>
      </c>
      <c r="Q79" s="2" t="s">
        <v>23</v>
      </c>
    </row>
    <row r="80" spans="1:17" x14ac:dyDescent="0.25">
      <c r="A80" s="2" t="s">
        <v>77</v>
      </c>
      <c r="B80" s="2" t="s">
        <v>78</v>
      </c>
      <c r="C80" s="5">
        <v>118.5</v>
      </c>
      <c r="D80" s="3" t="b">
        <f>TRUE()</f>
        <v>1</v>
      </c>
      <c r="E80" s="3" t="b">
        <f>FALSE()</f>
        <v>0</v>
      </c>
      <c r="F80" s="2" t="s">
        <v>23</v>
      </c>
      <c r="G80" s="2" t="s">
        <v>364</v>
      </c>
      <c r="H80" s="2" t="s">
        <v>23</v>
      </c>
      <c r="I80" s="2" t="s">
        <v>365</v>
      </c>
      <c r="J80" s="3" t="b">
        <f>FALSE()</f>
        <v>0</v>
      </c>
      <c r="K80" s="10">
        <v>22.92</v>
      </c>
      <c r="L80" s="10">
        <v>0</v>
      </c>
      <c r="M80" s="2" t="s">
        <v>417</v>
      </c>
      <c r="N80" s="2" t="s">
        <v>25</v>
      </c>
      <c r="O80" s="2" t="s">
        <v>24</v>
      </c>
      <c r="P80" s="2" t="s">
        <v>367</v>
      </c>
      <c r="Q80" s="2" t="s">
        <v>23</v>
      </c>
    </row>
    <row r="81" spans="1:17" x14ac:dyDescent="0.25">
      <c r="A81" s="2" t="s">
        <v>79</v>
      </c>
      <c r="B81" s="2" t="s">
        <v>80</v>
      </c>
      <c r="C81" s="5">
        <v>79</v>
      </c>
      <c r="D81" s="3" t="b">
        <f>TRUE()</f>
        <v>1</v>
      </c>
      <c r="E81" s="3" t="b">
        <f>FALSE()</f>
        <v>0</v>
      </c>
      <c r="F81" s="2" t="s">
        <v>23</v>
      </c>
      <c r="G81" s="2" t="s">
        <v>364</v>
      </c>
      <c r="H81" s="2" t="s">
        <v>23</v>
      </c>
      <c r="I81" s="2" t="s">
        <v>365</v>
      </c>
      <c r="J81" s="3" t="b">
        <f>FALSE()</f>
        <v>0</v>
      </c>
      <c r="K81" s="10">
        <v>23.6</v>
      </c>
      <c r="L81" s="10">
        <v>0</v>
      </c>
      <c r="M81" s="2" t="s">
        <v>381</v>
      </c>
      <c r="N81" s="2" t="s">
        <v>25</v>
      </c>
      <c r="O81" s="2" t="s">
        <v>24</v>
      </c>
      <c r="P81" s="2" t="s">
        <v>367</v>
      </c>
      <c r="Q81" s="2" t="s">
        <v>23</v>
      </c>
    </row>
    <row r="82" spans="1:17" x14ac:dyDescent="0.25">
      <c r="A82" s="2" t="s">
        <v>492</v>
      </c>
      <c r="B82" s="2" t="s">
        <v>493</v>
      </c>
      <c r="C82" s="5">
        <v>4</v>
      </c>
      <c r="D82" s="3" t="b">
        <f>FALSE()</f>
        <v>0</v>
      </c>
      <c r="E82" s="3" t="b">
        <f>FALSE()</f>
        <v>0</v>
      </c>
      <c r="F82" s="2" t="s">
        <v>23</v>
      </c>
      <c r="G82" s="2" t="s">
        <v>364</v>
      </c>
      <c r="H82" s="2" t="s">
        <v>23</v>
      </c>
      <c r="I82" s="2" t="s">
        <v>365</v>
      </c>
      <c r="J82" s="3" t="b">
        <f>TRUE()</f>
        <v>1</v>
      </c>
      <c r="K82" s="10">
        <v>28</v>
      </c>
      <c r="L82" s="10">
        <v>0</v>
      </c>
      <c r="M82" s="2" t="s">
        <v>381</v>
      </c>
      <c r="N82" s="2" t="s">
        <v>25</v>
      </c>
      <c r="O82" s="2" t="s">
        <v>24</v>
      </c>
      <c r="P82" s="2" t="s">
        <v>367</v>
      </c>
      <c r="Q82" s="2" t="s">
        <v>23</v>
      </c>
    </row>
    <row r="83" spans="1:17" x14ac:dyDescent="0.25">
      <c r="A83" s="2" t="s">
        <v>81</v>
      </c>
      <c r="B83" s="2" t="s">
        <v>82</v>
      </c>
      <c r="C83" s="5">
        <v>54</v>
      </c>
      <c r="D83" s="3" t="b">
        <f>TRUE()</f>
        <v>1</v>
      </c>
      <c r="E83" s="3" t="b">
        <f>FALSE()</f>
        <v>0</v>
      </c>
      <c r="F83" s="2" t="s">
        <v>23</v>
      </c>
      <c r="G83" s="2" t="s">
        <v>364</v>
      </c>
      <c r="H83" s="2" t="s">
        <v>23</v>
      </c>
      <c r="I83" s="2" t="s">
        <v>365</v>
      </c>
      <c r="J83" s="3" t="b">
        <f>FALSE()</f>
        <v>0</v>
      </c>
      <c r="K83" s="10">
        <v>62.25</v>
      </c>
      <c r="L83" s="10">
        <v>0</v>
      </c>
      <c r="M83" s="2" t="s">
        <v>381</v>
      </c>
      <c r="N83" s="2" t="s">
        <v>25</v>
      </c>
      <c r="O83" s="2" t="s">
        <v>24</v>
      </c>
      <c r="P83" s="2" t="s">
        <v>367</v>
      </c>
      <c r="Q83" s="2" t="s">
        <v>23</v>
      </c>
    </row>
    <row r="84" spans="1:17" x14ac:dyDescent="0.25">
      <c r="A84" s="2" t="s">
        <v>83</v>
      </c>
      <c r="B84" s="2" t="s">
        <v>84</v>
      </c>
      <c r="C84" s="5">
        <v>8.9</v>
      </c>
      <c r="D84" s="3" t="b">
        <f>FALSE()</f>
        <v>0</v>
      </c>
      <c r="E84" s="3" t="b">
        <f>FALSE()</f>
        <v>0</v>
      </c>
      <c r="F84" s="2" t="s">
        <v>23</v>
      </c>
      <c r="G84" s="2" t="s">
        <v>364</v>
      </c>
      <c r="H84" s="2" t="s">
        <v>23</v>
      </c>
      <c r="I84" s="2" t="s">
        <v>365</v>
      </c>
      <c r="J84" s="3" t="b">
        <f>FALSE()</f>
        <v>0</v>
      </c>
      <c r="K84" s="10">
        <v>46</v>
      </c>
      <c r="L84" s="10">
        <v>0</v>
      </c>
      <c r="M84" s="2" t="s">
        <v>494</v>
      </c>
      <c r="N84" s="2" t="s">
        <v>25</v>
      </c>
      <c r="O84" s="2" t="s">
        <v>24</v>
      </c>
      <c r="P84" s="2" t="s">
        <v>367</v>
      </c>
      <c r="Q84" s="2" t="s">
        <v>23</v>
      </c>
    </row>
    <row r="85" spans="1:17" x14ac:dyDescent="0.25">
      <c r="A85" s="2" t="s">
        <v>85</v>
      </c>
      <c r="B85" s="2" t="s">
        <v>86</v>
      </c>
      <c r="C85" s="5">
        <v>231.34</v>
      </c>
      <c r="D85" s="3" t="b">
        <f>TRUE()</f>
        <v>1</v>
      </c>
      <c r="E85" s="3" t="b">
        <f>FALSE()</f>
        <v>0</v>
      </c>
      <c r="F85" s="2" t="s">
        <v>23</v>
      </c>
      <c r="G85" s="2" t="s">
        <v>364</v>
      </c>
      <c r="H85" s="2" t="s">
        <v>23</v>
      </c>
      <c r="I85" s="2" t="s">
        <v>365</v>
      </c>
      <c r="J85" s="3" t="b">
        <f>FALSE()</f>
        <v>0</v>
      </c>
      <c r="K85" s="10">
        <v>4.9279799999999998</v>
      </c>
      <c r="L85" s="10">
        <v>0</v>
      </c>
      <c r="M85" s="2" t="s">
        <v>439</v>
      </c>
      <c r="N85" s="2" t="s">
        <v>25</v>
      </c>
      <c r="O85" s="2" t="s">
        <v>24</v>
      </c>
      <c r="P85" s="2" t="s">
        <v>367</v>
      </c>
      <c r="Q85" s="2" t="s">
        <v>23</v>
      </c>
    </row>
    <row r="86" spans="1:17" x14ac:dyDescent="0.25">
      <c r="A86" s="2" t="s">
        <v>495</v>
      </c>
      <c r="B86" s="2" t="s">
        <v>496</v>
      </c>
      <c r="C86" s="5">
        <v>4.8600000000000003</v>
      </c>
      <c r="D86" s="3" t="b">
        <f>FALSE()</f>
        <v>0</v>
      </c>
      <c r="E86" s="3" t="b">
        <f>FALSE()</f>
        <v>0</v>
      </c>
      <c r="F86" s="2" t="s">
        <v>23</v>
      </c>
      <c r="G86" s="2" t="s">
        <v>364</v>
      </c>
      <c r="H86" s="2" t="s">
        <v>23</v>
      </c>
      <c r="I86" s="2" t="s">
        <v>365</v>
      </c>
      <c r="J86" s="3" t="b">
        <f>TRUE()</f>
        <v>1</v>
      </c>
      <c r="K86" s="10">
        <v>9.7489699999999999</v>
      </c>
      <c r="L86" s="10">
        <v>0</v>
      </c>
      <c r="M86" s="2" t="s">
        <v>497</v>
      </c>
      <c r="N86" s="2" t="s">
        <v>498</v>
      </c>
      <c r="O86" s="2" t="s">
        <v>24</v>
      </c>
      <c r="P86" s="2" t="s">
        <v>499</v>
      </c>
      <c r="Q86" s="2" t="s">
        <v>23</v>
      </c>
    </row>
    <row r="87" spans="1:17" x14ac:dyDescent="0.25">
      <c r="A87" s="2" t="s">
        <v>500</v>
      </c>
      <c r="B87" s="2" t="s">
        <v>501</v>
      </c>
      <c r="C87" s="5">
        <v>0</v>
      </c>
      <c r="D87" s="3" t="b">
        <f>FALSE()</f>
        <v>0</v>
      </c>
      <c r="E87" s="3" t="b">
        <f>FALSE()</f>
        <v>0</v>
      </c>
      <c r="F87" s="2" t="s">
        <v>23</v>
      </c>
      <c r="G87" s="2" t="s">
        <v>364</v>
      </c>
      <c r="H87" s="2" t="s">
        <v>23</v>
      </c>
      <c r="I87" s="2" t="s">
        <v>365</v>
      </c>
      <c r="J87" s="3" t="b">
        <f>TRUE()</f>
        <v>1</v>
      </c>
      <c r="K87" s="10">
        <v>0</v>
      </c>
      <c r="L87" s="10">
        <v>0</v>
      </c>
      <c r="M87" s="2" t="s">
        <v>476</v>
      </c>
      <c r="N87" s="2" t="s">
        <v>23</v>
      </c>
      <c r="O87" s="2" t="s">
        <v>24</v>
      </c>
      <c r="P87" s="2" t="s">
        <v>367</v>
      </c>
      <c r="Q87" s="2" t="s">
        <v>23</v>
      </c>
    </row>
    <row r="88" spans="1:17" x14ac:dyDescent="0.25">
      <c r="A88" s="2" t="s">
        <v>502</v>
      </c>
      <c r="B88" s="2" t="s">
        <v>503</v>
      </c>
      <c r="C88" s="5">
        <v>0</v>
      </c>
      <c r="D88" s="3" t="b">
        <f>FALSE()</f>
        <v>0</v>
      </c>
      <c r="E88" s="3" t="b">
        <f>FALSE()</f>
        <v>0</v>
      </c>
      <c r="F88" s="2" t="s">
        <v>23</v>
      </c>
      <c r="G88" s="2" t="s">
        <v>364</v>
      </c>
      <c r="H88" s="2" t="s">
        <v>23</v>
      </c>
      <c r="I88" s="2" t="s">
        <v>365</v>
      </c>
      <c r="J88" s="3" t="b">
        <f>TRUE()</f>
        <v>1</v>
      </c>
      <c r="K88" s="10">
        <v>0</v>
      </c>
      <c r="L88" s="10">
        <v>0</v>
      </c>
      <c r="M88" s="2" t="s">
        <v>504</v>
      </c>
      <c r="N88" s="2" t="s">
        <v>23</v>
      </c>
      <c r="O88" s="2" t="s">
        <v>24</v>
      </c>
      <c r="P88" s="2" t="s">
        <v>367</v>
      </c>
      <c r="Q88" s="2" t="s">
        <v>23</v>
      </c>
    </row>
    <row r="89" spans="1:17" x14ac:dyDescent="0.25">
      <c r="A89" s="2" t="s">
        <v>505</v>
      </c>
      <c r="B89" s="2" t="s">
        <v>506</v>
      </c>
      <c r="C89" s="5">
        <v>25</v>
      </c>
      <c r="D89" s="3" t="b">
        <f>FALSE()</f>
        <v>0</v>
      </c>
      <c r="E89" s="3" t="b">
        <f>FALSE()</f>
        <v>0</v>
      </c>
      <c r="F89" s="2" t="s">
        <v>23</v>
      </c>
      <c r="G89" s="2" t="s">
        <v>364</v>
      </c>
      <c r="H89" s="2" t="s">
        <v>23</v>
      </c>
      <c r="I89" s="2" t="s">
        <v>365</v>
      </c>
      <c r="J89" s="3" t="b">
        <f>TRUE()</f>
        <v>1</v>
      </c>
      <c r="K89" s="10">
        <v>24.5</v>
      </c>
      <c r="L89" s="10">
        <v>0</v>
      </c>
      <c r="M89" s="2" t="s">
        <v>507</v>
      </c>
      <c r="N89" s="2" t="s">
        <v>25</v>
      </c>
      <c r="O89" s="2" t="s">
        <v>24</v>
      </c>
      <c r="P89" s="2" t="s">
        <v>367</v>
      </c>
      <c r="Q89" s="2" t="s">
        <v>23</v>
      </c>
    </row>
    <row r="90" spans="1:17" x14ac:dyDescent="0.25">
      <c r="A90" s="2" t="s">
        <v>211</v>
      </c>
      <c r="B90" s="2" t="s">
        <v>508</v>
      </c>
      <c r="C90" s="5">
        <v>793.95</v>
      </c>
      <c r="D90" s="3" t="b">
        <f>TRUE()</f>
        <v>1</v>
      </c>
      <c r="E90" s="3" t="b">
        <f>FALSE()</f>
        <v>0</v>
      </c>
      <c r="F90" s="2" t="s">
        <v>23</v>
      </c>
      <c r="G90" s="2" t="s">
        <v>364</v>
      </c>
      <c r="H90" s="2" t="s">
        <v>23</v>
      </c>
      <c r="I90" s="2" t="s">
        <v>365</v>
      </c>
      <c r="J90" s="3" t="b">
        <f>FALSE()</f>
        <v>0</v>
      </c>
      <c r="K90" s="10">
        <v>5.95</v>
      </c>
      <c r="L90" s="10">
        <v>5.95</v>
      </c>
      <c r="M90" s="2" t="s">
        <v>368</v>
      </c>
      <c r="N90" s="2" t="s">
        <v>55</v>
      </c>
      <c r="O90" s="2" t="s">
        <v>24</v>
      </c>
      <c r="P90" s="2" t="s">
        <v>367</v>
      </c>
      <c r="Q90" s="2" t="s">
        <v>23</v>
      </c>
    </row>
    <row r="91" spans="1:17" x14ac:dyDescent="0.25">
      <c r="A91" s="2" t="s">
        <v>219</v>
      </c>
      <c r="B91" s="2" t="s">
        <v>220</v>
      </c>
      <c r="C91" s="5">
        <v>13.5</v>
      </c>
      <c r="D91" s="3" t="b">
        <f>TRUE()</f>
        <v>1</v>
      </c>
      <c r="E91" s="3" t="b">
        <f>FALSE()</f>
        <v>0</v>
      </c>
      <c r="F91" s="2" t="s">
        <v>23</v>
      </c>
      <c r="G91" s="2" t="s">
        <v>364</v>
      </c>
      <c r="H91" s="2" t="s">
        <v>23</v>
      </c>
      <c r="I91" s="2" t="s">
        <v>365</v>
      </c>
      <c r="J91" s="3" t="b">
        <f>TRUE()</f>
        <v>1</v>
      </c>
      <c r="K91" s="10">
        <v>3.2496299999999998</v>
      </c>
      <c r="L91" s="10">
        <v>0</v>
      </c>
      <c r="M91" s="2" t="s">
        <v>509</v>
      </c>
      <c r="N91" s="2" t="s">
        <v>93</v>
      </c>
      <c r="O91" s="2" t="s">
        <v>24</v>
      </c>
      <c r="P91" s="2" t="s">
        <v>367</v>
      </c>
      <c r="Q91" s="2" t="s">
        <v>23</v>
      </c>
    </row>
    <row r="92" spans="1:17" x14ac:dyDescent="0.25">
      <c r="A92" s="2" t="s">
        <v>510</v>
      </c>
      <c r="B92" s="2" t="s">
        <v>511</v>
      </c>
      <c r="C92" s="5">
        <v>30.802399999999999</v>
      </c>
      <c r="D92" s="3" t="b">
        <f>FALSE()</f>
        <v>0</v>
      </c>
      <c r="E92" s="3" t="b">
        <f>FALSE()</f>
        <v>0</v>
      </c>
      <c r="F92" s="2" t="s">
        <v>23</v>
      </c>
      <c r="G92" s="2" t="s">
        <v>364</v>
      </c>
      <c r="H92" s="2" t="s">
        <v>23</v>
      </c>
      <c r="I92" s="2" t="s">
        <v>365</v>
      </c>
      <c r="J92" s="3" t="b">
        <f>FALSE()</f>
        <v>0</v>
      </c>
      <c r="K92" s="10">
        <v>55</v>
      </c>
      <c r="L92" s="10">
        <v>0</v>
      </c>
      <c r="M92" s="2" t="s">
        <v>389</v>
      </c>
      <c r="N92" s="2" t="s">
        <v>164</v>
      </c>
      <c r="O92" s="2" t="s">
        <v>24</v>
      </c>
      <c r="P92" s="2" t="s">
        <v>367</v>
      </c>
      <c r="Q92" s="2" t="s">
        <v>23</v>
      </c>
    </row>
    <row r="93" spans="1:17" x14ac:dyDescent="0.25">
      <c r="A93" s="2" t="s">
        <v>512</v>
      </c>
      <c r="B93" s="2" t="s">
        <v>513</v>
      </c>
      <c r="C93" s="5">
        <v>25</v>
      </c>
      <c r="D93" s="3" t="b">
        <f>FALSE()</f>
        <v>0</v>
      </c>
      <c r="E93" s="3" t="b">
        <f>FALSE()</f>
        <v>0</v>
      </c>
      <c r="F93" s="2" t="s">
        <v>23</v>
      </c>
      <c r="G93" s="2" t="s">
        <v>364</v>
      </c>
      <c r="H93" s="2" t="s">
        <v>23</v>
      </c>
      <c r="I93" s="2" t="s">
        <v>365</v>
      </c>
      <c r="J93" s="3" t="b">
        <f>TRUE()</f>
        <v>1</v>
      </c>
      <c r="K93" s="10">
        <v>60</v>
      </c>
      <c r="L93" s="10">
        <v>0</v>
      </c>
      <c r="M93" s="2" t="s">
        <v>514</v>
      </c>
      <c r="N93" s="2" t="s">
        <v>25</v>
      </c>
      <c r="O93" s="2" t="s">
        <v>24</v>
      </c>
      <c r="P93" s="2" t="s">
        <v>367</v>
      </c>
      <c r="Q93" s="2" t="s">
        <v>23</v>
      </c>
    </row>
    <row r="94" spans="1:17" x14ac:dyDescent="0.25">
      <c r="A94" s="2" t="s">
        <v>515</v>
      </c>
      <c r="B94" s="2" t="s">
        <v>516</v>
      </c>
      <c r="C94" s="5">
        <v>0</v>
      </c>
      <c r="D94" s="3" t="b">
        <f>FALSE()</f>
        <v>0</v>
      </c>
      <c r="E94" s="3" t="b">
        <f>FALSE()</f>
        <v>0</v>
      </c>
      <c r="F94" s="2" t="s">
        <v>23</v>
      </c>
      <c r="G94" s="2" t="s">
        <v>364</v>
      </c>
      <c r="H94" s="2" t="s">
        <v>23</v>
      </c>
      <c r="I94" s="2" t="s">
        <v>365</v>
      </c>
      <c r="J94" s="3" t="b">
        <f>TRUE()</f>
        <v>1</v>
      </c>
      <c r="K94" s="10">
        <v>0</v>
      </c>
      <c r="L94" s="10">
        <v>0</v>
      </c>
      <c r="M94" s="2" t="s">
        <v>381</v>
      </c>
      <c r="N94" s="2" t="s">
        <v>23</v>
      </c>
      <c r="O94" s="2" t="s">
        <v>24</v>
      </c>
      <c r="P94" s="2" t="s">
        <v>367</v>
      </c>
      <c r="Q94" s="2" t="s">
        <v>23</v>
      </c>
    </row>
    <row r="95" spans="1:17" x14ac:dyDescent="0.25">
      <c r="A95" s="2" t="s">
        <v>517</v>
      </c>
      <c r="B95" s="2" t="s">
        <v>518</v>
      </c>
      <c r="C95" s="5">
        <v>0</v>
      </c>
      <c r="D95" s="3" t="b">
        <f>FALSE()</f>
        <v>0</v>
      </c>
      <c r="E95" s="3" t="b">
        <f>FALSE()</f>
        <v>0</v>
      </c>
      <c r="F95" s="2" t="s">
        <v>23</v>
      </c>
      <c r="G95" s="2" t="s">
        <v>364</v>
      </c>
      <c r="H95" s="2" t="s">
        <v>23</v>
      </c>
      <c r="I95" s="2" t="s">
        <v>365</v>
      </c>
      <c r="J95" s="3" t="b">
        <f>TRUE()</f>
        <v>1</v>
      </c>
      <c r="K95" s="10">
        <v>0</v>
      </c>
      <c r="L95" s="10">
        <v>0</v>
      </c>
      <c r="M95" s="2" t="s">
        <v>381</v>
      </c>
      <c r="N95" s="2" t="s">
        <v>23</v>
      </c>
      <c r="O95" s="2" t="s">
        <v>24</v>
      </c>
      <c r="P95" s="2" t="s">
        <v>367</v>
      </c>
      <c r="Q95" s="2" t="s">
        <v>23</v>
      </c>
    </row>
    <row r="96" spans="1:17" x14ac:dyDescent="0.25">
      <c r="A96" s="2" t="s">
        <v>519</v>
      </c>
      <c r="B96" s="2" t="s">
        <v>520</v>
      </c>
      <c r="C96" s="5">
        <v>0</v>
      </c>
      <c r="D96" s="3" t="b">
        <f>FALSE()</f>
        <v>0</v>
      </c>
      <c r="E96" s="3" t="b">
        <f>FALSE()</f>
        <v>0</v>
      </c>
      <c r="F96" s="2" t="s">
        <v>23</v>
      </c>
      <c r="G96" s="2" t="s">
        <v>364</v>
      </c>
      <c r="H96" s="2" t="s">
        <v>23</v>
      </c>
      <c r="I96" s="2" t="s">
        <v>365</v>
      </c>
      <c r="J96" s="3" t="b">
        <f>TRUE()</f>
        <v>1</v>
      </c>
      <c r="K96" s="10">
        <v>0</v>
      </c>
      <c r="L96" s="10">
        <v>0</v>
      </c>
      <c r="M96" s="2" t="s">
        <v>521</v>
      </c>
      <c r="N96" s="2" t="s">
        <v>164</v>
      </c>
      <c r="O96" s="2" t="s">
        <v>24</v>
      </c>
      <c r="P96" s="2" t="s">
        <v>367</v>
      </c>
      <c r="Q96" s="2" t="s">
        <v>23</v>
      </c>
    </row>
    <row r="97" spans="1:17" x14ac:dyDescent="0.25">
      <c r="A97" s="2" t="s">
        <v>522</v>
      </c>
      <c r="B97" s="2" t="s">
        <v>523</v>
      </c>
      <c r="C97" s="5">
        <v>0</v>
      </c>
      <c r="D97" s="3" t="b">
        <f>FALSE()</f>
        <v>0</v>
      </c>
      <c r="E97" s="3" t="b">
        <f>FALSE()</f>
        <v>0</v>
      </c>
      <c r="F97" s="2" t="s">
        <v>23</v>
      </c>
      <c r="G97" s="2" t="s">
        <v>364</v>
      </c>
      <c r="H97" s="2" t="s">
        <v>23</v>
      </c>
      <c r="I97" s="2" t="s">
        <v>365</v>
      </c>
      <c r="J97" s="3" t="b">
        <f>TRUE()</f>
        <v>1</v>
      </c>
      <c r="K97" s="10">
        <v>0</v>
      </c>
      <c r="L97" s="10">
        <v>0</v>
      </c>
      <c r="M97" s="2" t="s">
        <v>521</v>
      </c>
      <c r="N97" s="2" t="s">
        <v>25</v>
      </c>
      <c r="O97" s="2" t="s">
        <v>24</v>
      </c>
      <c r="P97" s="2" t="s">
        <v>367</v>
      </c>
      <c r="Q97" s="2" t="s">
        <v>23</v>
      </c>
    </row>
    <row r="98" spans="1:17" x14ac:dyDescent="0.25">
      <c r="A98" s="2" t="s">
        <v>273</v>
      </c>
      <c r="B98" s="2" t="s">
        <v>274</v>
      </c>
      <c r="C98" s="5">
        <v>206.8</v>
      </c>
      <c r="D98" s="3" t="b">
        <f>TRUE()</f>
        <v>1</v>
      </c>
      <c r="E98" s="3" t="b">
        <f>FALSE()</f>
        <v>0</v>
      </c>
      <c r="F98" s="2" t="s">
        <v>23</v>
      </c>
      <c r="G98" s="2" t="s">
        <v>364</v>
      </c>
      <c r="H98" s="2" t="s">
        <v>23</v>
      </c>
      <c r="I98" s="2" t="s">
        <v>365</v>
      </c>
      <c r="J98" s="3" t="b">
        <f>FALSE()</f>
        <v>0</v>
      </c>
      <c r="K98" s="10">
        <v>4.45</v>
      </c>
      <c r="L98" s="10">
        <v>0</v>
      </c>
      <c r="M98" s="2" t="s">
        <v>524</v>
      </c>
      <c r="N98" s="2" t="s">
        <v>55</v>
      </c>
      <c r="O98" s="2" t="s">
        <v>24</v>
      </c>
      <c r="P98" s="2" t="s">
        <v>367</v>
      </c>
      <c r="Q98" s="2" t="s">
        <v>23</v>
      </c>
    </row>
    <row r="99" spans="1:17" x14ac:dyDescent="0.25">
      <c r="A99" s="2" t="s">
        <v>254</v>
      </c>
      <c r="B99" s="2" t="s">
        <v>255</v>
      </c>
      <c r="C99" s="5">
        <v>0</v>
      </c>
      <c r="D99" s="3" t="b">
        <f>TRUE()</f>
        <v>1</v>
      </c>
      <c r="E99" s="3" t="b">
        <f>FALSE()</f>
        <v>0</v>
      </c>
      <c r="F99" s="2" t="s">
        <v>23</v>
      </c>
      <c r="G99" s="2" t="s">
        <v>364</v>
      </c>
      <c r="H99" s="2" t="s">
        <v>23</v>
      </c>
      <c r="I99" s="2" t="s">
        <v>365</v>
      </c>
      <c r="J99" s="3" t="b">
        <f>TRUE()</f>
        <v>1</v>
      </c>
      <c r="K99" s="10">
        <v>0</v>
      </c>
      <c r="L99" s="10">
        <v>6.95</v>
      </c>
      <c r="M99" s="2" t="s">
        <v>427</v>
      </c>
      <c r="N99" s="2" t="s">
        <v>55</v>
      </c>
      <c r="O99" s="2" t="s">
        <v>24</v>
      </c>
      <c r="P99" s="2" t="s">
        <v>367</v>
      </c>
      <c r="Q99" s="2" t="s">
        <v>23</v>
      </c>
    </row>
    <row r="100" spans="1:17" x14ac:dyDescent="0.25">
      <c r="A100" s="2" t="s">
        <v>525</v>
      </c>
      <c r="B100" s="2" t="s">
        <v>526</v>
      </c>
      <c r="C100" s="5">
        <v>0</v>
      </c>
      <c r="D100" s="3" t="b">
        <f>FALSE()</f>
        <v>0</v>
      </c>
      <c r="E100" s="3" t="b">
        <f>FALSE()</f>
        <v>0</v>
      </c>
      <c r="F100" s="2" t="s">
        <v>23</v>
      </c>
      <c r="G100" s="2" t="s">
        <v>364</v>
      </c>
      <c r="H100" s="2" t="s">
        <v>23</v>
      </c>
      <c r="I100" s="2" t="s">
        <v>487</v>
      </c>
      <c r="J100" s="3" t="b">
        <f>TRUE()</f>
        <v>1</v>
      </c>
      <c r="K100" s="10">
        <v>1.545E-2</v>
      </c>
      <c r="L100" s="10">
        <v>0</v>
      </c>
      <c r="M100" s="2" t="s">
        <v>419</v>
      </c>
      <c r="N100" s="2" t="s">
        <v>55</v>
      </c>
      <c r="O100" s="2" t="s">
        <v>24</v>
      </c>
      <c r="P100" s="2" t="s">
        <v>367</v>
      </c>
      <c r="Q100" s="2" t="s">
        <v>23</v>
      </c>
    </row>
    <row r="101" spans="1:17" x14ac:dyDescent="0.25">
      <c r="A101" s="2" t="s">
        <v>527</v>
      </c>
      <c r="B101" s="2" t="s">
        <v>528</v>
      </c>
      <c r="C101" s="5">
        <v>23</v>
      </c>
      <c r="D101" s="3" t="b">
        <f>FALSE()</f>
        <v>0</v>
      </c>
      <c r="E101" s="3" t="b">
        <f>FALSE()</f>
        <v>0</v>
      </c>
      <c r="F101" s="2" t="s">
        <v>23</v>
      </c>
      <c r="G101" s="2" t="s">
        <v>364</v>
      </c>
      <c r="H101" s="2" t="s">
        <v>23</v>
      </c>
      <c r="I101" s="2" t="s">
        <v>365</v>
      </c>
      <c r="J101" s="3" t="b">
        <f>TRUE()</f>
        <v>1</v>
      </c>
      <c r="K101" s="10">
        <v>9.5</v>
      </c>
      <c r="L101" s="10">
        <v>0</v>
      </c>
      <c r="M101" s="2" t="s">
        <v>529</v>
      </c>
      <c r="N101" s="2" t="s">
        <v>25</v>
      </c>
      <c r="O101" s="2" t="s">
        <v>24</v>
      </c>
      <c r="P101" s="2" t="s">
        <v>367</v>
      </c>
      <c r="Q101" s="2" t="s">
        <v>23</v>
      </c>
    </row>
    <row r="102" spans="1:17" x14ac:dyDescent="0.25">
      <c r="A102" s="2" t="s">
        <v>256</v>
      </c>
      <c r="B102" s="2" t="s">
        <v>257</v>
      </c>
      <c r="C102" s="5">
        <v>560.79999999999995</v>
      </c>
      <c r="D102" s="3" t="b">
        <f>TRUE()</f>
        <v>1</v>
      </c>
      <c r="E102" s="3" t="b">
        <f>FALSE()</f>
        <v>0</v>
      </c>
      <c r="F102" s="2" t="s">
        <v>23</v>
      </c>
      <c r="G102" s="2" t="s">
        <v>364</v>
      </c>
      <c r="H102" s="2" t="s">
        <v>23</v>
      </c>
      <c r="I102" s="2" t="s">
        <v>365</v>
      </c>
      <c r="J102" s="3" t="b">
        <f>FALSE()</f>
        <v>0</v>
      </c>
      <c r="K102" s="10">
        <v>5.45</v>
      </c>
      <c r="L102" s="10">
        <v>5.45</v>
      </c>
      <c r="M102" s="2" t="s">
        <v>427</v>
      </c>
      <c r="N102" s="2" t="s">
        <v>93</v>
      </c>
      <c r="O102" s="2" t="s">
        <v>24</v>
      </c>
      <c r="P102" s="2" t="s">
        <v>367</v>
      </c>
      <c r="Q102" s="2" t="s">
        <v>23</v>
      </c>
    </row>
    <row r="103" spans="1:17" x14ac:dyDescent="0.25">
      <c r="A103" s="2" t="s">
        <v>87</v>
      </c>
      <c r="B103" s="2" t="s">
        <v>88</v>
      </c>
      <c r="C103" s="5">
        <v>35</v>
      </c>
      <c r="D103" s="3" t="b">
        <f>FALSE()</f>
        <v>0</v>
      </c>
      <c r="E103" s="3" t="b">
        <f>FALSE()</f>
        <v>0</v>
      </c>
      <c r="F103" s="2" t="s">
        <v>23</v>
      </c>
      <c r="G103" s="2" t="s">
        <v>364</v>
      </c>
      <c r="H103" s="2" t="s">
        <v>23</v>
      </c>
      <c r="I103" s="2" t="s">
        <v>365</v>
      </c>
      <c r="J103" s="3" t="b">
        <f>FALSE()</f>
        <v>0</v>
      </c>
      <c r="K103" s="10">
        <v>5.5</v>
      </c>
      <c r="L103" s="10">
        <v>5.75</v>
      </c>
      <c r="M103" s="2" t="s">
        <v>439</v>
      </c>
      <c r="N103" s="2" t="s">
        <v>25</v>
      </c>
      <c r="O103" s="2" t="s">
        <v>24</v>
      </c>
      <c r="P103" s="2" t="s">
        <v>367</v>
      </c>
      <c r="Q103" s="2" t="s">
        <v>23</v>
      </c>
    </row>
    <row r="104" spans="1:17" x14ac:dyDescent="0.25">
      <c r="A104" s="2" t="s">
        <v>89</v>
      </c>
      <c r="B104" s="2" t="s">
        <v>90</v>
      </c>
      <c r="C104" s="5">
        <v>650</v>
      </c>
      <c r="D104" s="3" t="b">
        <f>TRUE()</f>
        <v>1</v>
      </c>
      <c r="E104" s="3" t="b">
        <f>FALSE()</f>
        <v>0</v>
      </c>
      <c r="F104" s="2" t="s">
        <v>23</v>
      </c>
      <c r="G104" s="2" t="s">
        <v>364</v>
      </c>
      <c r="H104" s="2" t="s">
        <v>23</v>
      </c>
      <c r="I104" s="2" t="s">
        <v>365</v>
      </c>
      <c r="J104" s="3" t="b">
        <f>FALSE()</f>
        <v>0</v>
      </c>
      <c r="K104" s="10">
        <v>2.85</v>
      </c>
      <c r="L104" s="10">
        <v>2.85</v>
      </c>
      <c r="M104" s="2" t="s">
        <v>428</v>
      </c>
      <c r="N104" s="2" t="s">
        <v>55</v>
      </c>
      <c r="O104" s="2" t="s">
        <v>24</v>
      </c>
      <c r="P104" s="2" t="s">
        <v>367</v>
      </c>
      <c r="Q104" s="2" t="s">
        <v>23</v>
      </c>
    </row>
    <row r="105" spans="1:17" x14ac:dyDescent="0.25">
      <c r="A105" s="2" t="s">
        <v>226</v>
      </c>
      <c r="B105" s="2" t="s">
        <v>530</v>
      </c>
      <c r="C105" s="5">
        <v>192.39997</v>
      </c>
      <c r="D105" s="3" t="b">
        <f>TRUE()</f>
        <v>1</v>
      </c>
      <c r="E105" s="3" t="b">
        <f>FALSE()</f>
        <v>0</v>
      </c>
      <c r="F105" s="2" t="s">
        <v>23</v>
      </c>
      <c r="G105" s="2" t="s">
        <v>364</v>
      </c>
      <c r="H105" s="2" t="s">
        <v>23</v>
      </c>
      <c r="I105" s="2" t="s">
        <v>365</v>
      </c>
      <c r="J105" s="3" t="b">
        <f>FALSE()</f>
        <v>0</v>
      </c>
      <c r="K105" s="10">
        <v>6.95</v>
      </c>
      <c r="L105" s="10">
        <v>6.95</v>
      </c>
      <c r="M105" s="2" t="s">
        <v>415</v>
      </c>
      <c r="N105" s="2" t="s">
        <v>55</v>
      </c>
      <c r="O105" s="2" t="s">
        <v>24</v>
      </c>
      <c r="P105" s="2" t="s">
        <v>367</v>
      </c>
      <c r="Q105" s="2" t="s">
        <v>23</v>
      </c>
    </row>
    <row r="106" spans="1:17" x14ac:dyDescent="0.25">
      <c r="A106" s="2" t="s">
        <v>284</v>
      </c>
      <c r="B106" s="2" t="s">
        <v>285</v>
      </c>
      <c r="C106" s="5">
        <v>405.05</v>
      </c>
      <c r="D106" s="3" t="b">
        <f>TRUE()</f>
        <v>1</v>
      </c>
      <c r="E106" s="3" t="b">
        <f>FALSE()</f>
        <v>0</v>
      </c>
      <c r="F106" s="2" t="s">
        <v>23</v>
      </c>
      <c r="G106" s="2" t="s">
        <v>364</v>
      </c>
      <c r="H106" s="2" t="s">
        <v>23</v>
      </c>
      <c r="I106" s="2" t="s">
        <v>365</v>
      </c>
      <c r="J106" s="3" t="b">
        <f>FALSE()</f>
        <v>0</v>
      </c>
      <c r="K106" s="10">
        <v>5.65</v>
      </c>
      <c r="L106" s="10">
        <v>5.45</v>
      </c>
      <c r="M106" s="2" t="s">
        <v>459</v>
      </c>
      <c r="N106" s="2" t="s">
        <v>55</v>
      </c>
      <c r="O106" s="2" t="s">
        <v>24</v>
      </c>
      <c r="P106" s="2" t="s">
        <v>367</v>
      </c>
      <c r="Q106" s="2" t="s">
        <v>23</v>
      </c>
    </row>
    <row r="107" spans="1:17" x14ac:dyDescent="0.25">
      <c r="A107" s="2" t="s">
        <v>287</v>
      </c>
      <c r="B107" s="2" t="s">
        <v>288</v>
      </c>
      <c r="C107" s="5">
        <v>33.125</v>
      </c>
      <c r="D107" s="3" t="b">
        <f>TRUE()</f>
        <v>1</v>
      </c>
      <c r="E107" s="3" t="b">
        <f>FALSE()</f>
        <v>0</v>
      </c>
      <c r="F107" s="2" t="s">
        <v>23</v>
      </c>
      <c r="G107" s="2" t="s">
        <v>364</v>
      </c>
      <c r="H107" s="2" t="s">
        <v>23</v>
      </c>
      <c r="I107" s="2" t="s">
        <v>365</v>
      </c>
      <c r="J107" s="3" t="b">
        <f>FALSE()</f>
        <v>0</v>
      </c>
      <c r="K107" s="10">
        <v>8.9499999999999993</v>
      </c>
      <c r="L107" s="10">
        <v>8.9499999999999993</v>
      </c>
      <c r="M107" s="2" t="s">
        <v>463</v>
      </c>
      <c r="N107" s="2" t="s">
        <v>55</v>
      </c>
      <c r="O107" s="2" t="s">
        <v>24</v>
      </c>
      <c r="P107" s="2" t="s">
        <v>367</v>
      </c>
      <c r="Q107" s="2" t="s">
        <v>23</v>
      </c>
    </row>
    <row r="108" spans="1:17" x14ac:dyDescent="0.25">
      <c r="A108" s="2" t="s">
        <v>276</v>
      </c>
      <c r="B108" s="2" t="s">
        <v>277</v>
      </c>
      <c r="C108" s="5">
        <v>0</v>
      </c>
      <c r="D108" s="3" t="b">
        <f>TRUE()</f>
        <v>1</v>
      </c>
      <c r="E108" s="3" t="b">
        <f>FALSE()</f>
        <v>0</v>
      </c>
      <c r="F108" s="2" t="s">
        <v>23</v>
      </c>
      <c r="G108" s="2" t="s">
        <v>364</v>
      </c>
      <c r="H108" s="2" t="s">
        <v>23</v>
      </c>
      <c r="I108" s="2" t="s">
        <v>365</v>
      </c>
      <c r="J108" s="3" t="b">
        <f>TRUE()</f>
        <v>1</v>
      </c>
      <c r="K108" s="10">
        <v>0</v>
      </c>
      <c r="L108" s="10">
        <v>9.9499999999999993</v>
      </c>
      <c r="M108" s="2" t="s">
        <v>428</v>
      </c>
      <c r="N108" s="2" t="s">
        <v>55</v>
      </c>
      <c r="O108" s="2" t="s">
        <v>24</v>
      </c>
      <c r="P108" s="2" t="s">
        <v>367</v>
      </c>
      <c r="Q108" s="2" t="s">
        <v>23</v>
      </c>
    </row>
    <row r="109" spans="1:17" x14ac:dyDescent="0.25">
      <c r="A109" s="2" t="s">
        <v>262</v>
      </c>
      <c r="B109" s="2" t="s">
        <v>263</v>
      </c>
      <c r="C109" s="5">
        <v>450</v>
      </c>
      <c r="D109" s="3" t="b">
        <f>TRUE()</f>
        <v>1</v>
      </c>
      <c r="E109" s="3" t="b">
        <f>FALSE()</f>
        <v>0</v>
      </c>
      <c r="F109" s="2" t="s">
        <v>23</v>
      </c>
      <c r="G109" s="2" t="s">
        <v>364</v>
      </c>
      <c r="H109" s="2" t="s">
        <v>23</v>
      </c>
      <c r="I109" s="2" t="s">
        <v>365</v>
      </c>
      <c r="J109" s="3" t="b">
        <f>FALSE()</f>
        <v>0</v>
      </c>
      <c r="K109" s="10">
        <v>3.95</v>
      </c>
      <c r="L109" s="10">
        <v>3.95</v>
      </c>
      <c r="M109" s="2" t="s">
        <v>439</v>
      </c>
      <c r="N109" s="2" t="s">
        <v>55</v>
      </c>
      <c r="O109" s="2" t="s">
        <v>24</v>
      </c>
      <c r="P109" s="2" t="s">
        <v>367</v>
      </c>
      <c r="Q109" s="2" t="s">
        <v>23</v>
      </c>
    </row>
    <row r="110" spans="1:17" x14ac:dyDescent="0.25">
      <c r="A110" s="2" t="s">
        <v>265</v>
      </c>
      <c r="B110" s="2" t="s">
        <v>266</v>
      </c>
      <c r="C110" s="5">
        <v>0</v>
      </c>
      <c r="D110" s="3" t="b">
        <f>TRUE()</f>
        <v>1</v>
      </c>
      <c r="E110" s="3" t="b">
        <f>FALSE()</f>
        <v>0</v>
      </c>
      <c r="F110" s="2" t="s">
        <v>23</v>
      </c>
      <c r="G110" s="2" t="s">
        <v>364</v>
      </c>
      <c r="H110" s="2" t="s">
        <v>23</v>
      </c>
      <c r="I110" s="2" t="s">
        <v>365</v>
      </c>
      <c r="J110" s="3" t="b">
        <f>TRUE()</f>
        <v>1</v>
      </c>
      <c r="K110" s="10">
        <v>0</v>
      </c>
      <c r="L110" s="10">
        <v>12.45</v>
      </c>
      <c r="M110" s="2" t="s">
        <v>428</v>
      </c>
      <c r="N110" s="2" t="s">
        <v>55</v>
      </c>
      <c r="O110" s="2" t="s">
        <v>24</v>
      </c>
      <c r="P110" s="2" t="s">
        <v>367</v>
      </c>
      <c r="Q110" s="2" t="s">
        <v>23</v>
      </c>
    </row>
    <row r="111" spans="1:17" x14ac:dyDescent="0.25">
      <c r="A111" s="2" t="s">
        <v>282</v>
      </c>
      <c r="B111" s="2" t="s">
        <v>283</v>
      </c>
      <c r="C111" s="5">
        <v>0</v>
      </c>
      <c r="D111" s="3" t="b">
        <f>TRUE()</f>
        <v>1</v>
      </c>
      <c r="E111" s="3" t="b">
        <f>FALSE()</f>
        <v>0</v>
      </c>
      <c r="F111" s="2" t="s">
        <v>23</v>
      </c>
      <c r="G111" s="2" t="s">
        <v>364</v>
      </c>
      <c r="H111" s="2" t="s">
        <v>23</v>
      </c>
      <c r="I111" s="2" t="s">
        <v>365</v>
      </c>
      <c r="J111" s="3" t="b">
        <f>TRUE()</f>
        <v>1</v>
      </c>
      <c r="K111" s="10">
        <v>0</v>
      </c>
      <c r="L111" s="10">
        <v>10.95</v>
      </c>
      <c r="M111" s="2" t="s">
        <v>531</v>
      </c>
      <c r="N111" s="2" t="s">
        <v>55</v>
      </c>
      <c r="O111" s="2" t="s">
        <v>24</v>
      </c>
      <c r="P111" s="2" t="s">
        <v>367</v>
      </c>
      <c r="Q111" s="2" t="s">
        <v>23</v>
      </c>
    </row>
    <row r="112" spans="1:17" x14ac:dyDescent="0.25">
      <c r="A112" s="2" t="s">
        <v>205</v>
      </c>
      <c r="B112" s="2" t="s">
        <v>206</v>
      </c>
      <c r="C112" s="5">
        <v>841.8</v>
      </c>
      <c r="D112" s="3" t="b">
        <f>TRUE()</f>
        <v>1</v>
      </c>
      <c r="E112" s="3" t="b">
        <f>FALSE()</f>
        <v>0</v>
      </c>
      <c r="F112" s="2" t="s">
        <v>23</v>
      </c>
      <c r="G112" s="2" t="s">
        <v>364</v>
      </c>
      <c r="H112" s="2" t="s">
        <v>23</v>
      </c>
      <c r="I112" s="2" t="s">
        <v>365</v>
      </c>
      <c r="J112" s="3" t="b">
        <f>FALSE()</f>
        <v>0</v>
      </c>
      <c r="K112" s="10">
        <v>7.45</v>
      </c>
      <c r="L112" s="10">
        <v>7.45</v>
      </c>
      <c r="M112" s="2" t="s">
        <v>532</v>
      </c>
      <c r="N112" s="2" t="s">
        <v>55</v>
      </c>
      <c r="O112" s="2" t="s">
        <v>24</v>
      </c>
      <c r="P112" s="2" t="s">
        <v>367</v>
      </c>
      <c r="Q112" s="2" t="s">
        <v>23</v>
      </c>
    </row>
    <row r="113" spans="1:17" x14ac:dyDescent="0.25">
      <c r="A113" s="2" t="s">
        <v>216</v>
      </c>
      <c r="B113" s="2" t="s">
        <v>217</v>
      </c>
      <c r="C113" s="5">
        <v>175</v>
      </c>
      <c r="D113" s="3" t="b">
        <f>TRUE()</f>
        <v>1</v>
      </c>
      <c r="E113" s="3" t="b">
        <f>FALSE()</f>
        <v>0</v>
      </c>
      <c r="F113" s="2" t="s">
        <v>23</v>
      </c>
      <c r="G113" s="2" t="s">
        <v>364</v>
      </c>
      <c r="H113" s="2" t="s">
        <v>23</v>
      </c>
      <c r="I113" s="2" t="s">
        <v>365</v>
      </c>
      <c r="J113" s="3" t="b">
        <f>FALSE()</f>
        <v>0</v>
      </c>
      <c r="K113" s="10">
        <v>4.6500000000000004</v>
      </c>
      <c r="L113" s="10">
        <v>5.45</v>
      </c>
      <c r="M113" s="2" t="s">
        <v>414</v>
      </c>
      <c r="N113" s="2" t="s">
        <v>55</v>
      </c>
      <c r="O113" s="2" t="s">
        <v>24</v>
      </c>
      <c r="P113" s="2" t="s">
        <v>367</v>
      </c>
      <c r="Q113" s="2" t="s">
        <v>23</v>
      </c>
    </row>
    <row r="114" spans="1:17" x14ac:dyDescent="0.25">
      <c r="A114" s="2" t="s">
        <v>231</v>
      </c>
      <c r="B114" s="2" t="s">
        <v>232</v>
      </c>
      <c r="C114" s="5">
        <v>102</v>
      </c>
      <c r="D114" s="3" t="b">
        <f>TRUE()</f>
        <v>1</v>
      </c>
      <c r="E114" s="3" t="b">
        <f>FALSE()</f>
        <v>0</v>
      </c>
      <c r="F114" s="2" t="s">
        <v>23</v>
      </c>
      <c r="G114" s="2" t="s">
        <v>364</v>
      </c>
      <c r="H114" s="2" t="s">
        <v>23</v>
      </c>
      <c r="I114" s="2" t="s">
        <v>365</v>
      </c>
      <c r="J114" s="3" t="b">
        <f>FALSE()</f>
        <v>0</v>
      </c>
      <c r="K114" s="10">
        <v>6.95</v>
      </c>
      <c r="L114" s="10">
        <v>0</v>
      </c>
      <c r="M114" s="2" t="s">
        <v>379</v>
      </c>
      <c r="N114" s="2" t="s">
        <v>55</v>
      </c>
      <c r="O114" s="2" t="s">
        <v>24</v>
      </c>
      <c r="P114" s="2" t="s">
        <v>367</v>
      </c>
      <c r="Q114" s="2" t="s">
        <v>23</v>
      </c>
    </row>
    <row r="115" spans="1:17" x14ac:dyDescent="0.25">
      <c r="A115" s="2" t="s">
        <v>91</v>
      </c>
      <c r="B115" s="2" t="s">
        <v>92</v>
      </c>
      <c r="C115" s="5">
        <v>24</v>
      </c>
      <c r="D115" s="3" t="b">
        <f>TRUE()</f>
        <v>1</v>
      </c>
      <c r="E115" s="3" t="b">
        <f>FALSE()</f>
        <v>0</v>
      </c>
      <c r="F115" s="2" t="s">
        <v>23</v>
      </c>
      <c r="G115" s="2" t="s">
        <v>364</v>
      </c>
      <c r="H115" s="2" t="s">
        <v>23</v>
      </c>
      <c r="I115" s="2" t="s">
        <v>365</v>
      </c>
      <c r="J115" s="3" t="b">
        <f>FALSE()</f>
        <v>0</v>
      </c>
      <c r="K115" s="10">
        <v>640</v>
      </c>
      <c r="L115" s="10">
        <v>640</v>
      </c>
      <c r="M115" s="2" t="s">
        <v>376</v>
      </c>
      <c r="N115" s="2" t="s">
        <v>93</v>
      </c>
      <c r="O115" s="2" t="s">
        <v>24</v>
      </c>
      <c r="P115" s="2" t="s">
        <v>367</v>
      </c>
      <c r="Q115" s="2" t="s">
        <v>23</v>
      </c>
    </row>
    <row r="116" spans="1:17" x14ac:dyDescent="0.25">
      <c r="A116" s="2" t="s">
        <v>533</v>
      </c>
      <c r="B116" s="2" t="s">
        <v>534</v>
      </c>
      <c r="C116" s="5">
        <v>0</v>
      </c>
      <c r="D116" s="3" t="b">
        <f>FALSE()</f>
        <v>0</v>
      </c>
      <c r="E116" s="3" t="b">
        <f>FALSE()</f>
        <v>0</v>
      </c>
      <c r="F116" s="2" t="s">
        <v>23</v>
      </c>
      <c r="G116" s="2" t="s">
        <v>364</v>
      </c>
      <c r="H116" s="2" t="s">
        <v>23</v>
      </c>
      <c r="I116" s="2" t="s">
        <v>487</v>
      </c>
      <c r="J116" s="3" t="b">
        <f>TRUE()</f>
        <v>1</v>
      </c>
      <c r="K116" s="10">
        <v>1.6199999999999999E-2</v>
      </c>
      <c r="L116" s="10">
        <v>1531</v>
      </c>
      <c r="M116" s="2" t="s">
        <v>535</v>
      </c>
      <c r="N116" s="2" t="s">
        <v>536</v>
      </c>
      <c r="O116" s="2" t="s">
        <v>24</v>
      </c>
      <c r="P116" s="2" t="s">
        <v>367</v>
      </c>
      <c r="Q116" s="2" t="s">
        <v>23</v>
      </c>
    </row>
    <row r="117" spans="1:17" x14ac:dyDescent="0.25">
      <c r="A117" s="2" t="s">
        <v>228</v>
      </c>
      <c r="B117" s="2" t="s">
        <v>229</v>
      </c>
      <c r="C117" s="5">
        <v>33.700000000000003</v>
      </c>
      <c r="D117" s="3" t="b">
        <f>TRUE()</f>
        <v>1</v>
      </c>
      <c r="E117" s="3" t="b">
        <f>FALSE()</f>
        <v>0</v>
      </c>
      <c r="F117" s="2" t="s">
        <v>23</v>
      </c>
      <c r="G117" s="2" t="s">
        <v>364</v>
      </c>
      <c r="H117" s="2" t="s">
        <v>23</v>
      </c>
      <c r="I117" s="2" t="s">
        <v>365</v>
      </c>
      <c r="J117" s="3" t="b">
        <f>FALSE()</f>
        <v>0</v>
      </c>
      <c r="K117" s="10">
        <v>6.85</v>
      </c>
      <c r="L117" s="10">
        <v>6.85</v>
      </c>
      <c r="M117" s="2" t="s">
        <v>439</v>
      </c>
      <c r="N117" s="2" t="s">
        <v>55</v>
      </c>
      <c r="O117" s="2" t="s">
        <v>24</v>
      </c>
      <c r="P117" s="2" t="s">
        <v>367</v>
      </c>
      <c r="Q117" s="2" t="s">
        <v>23</v>
      </c>
    </row>
    <row r="118" spans="1:17" x14ac:dyDescent="0.25">
      <c r="A118" s="2" t="s">
        <v>537</v>
      </c>
      <c r="B118" s="2" t="s">
        <v>538</v>
      </c>
      <c r="C118" s="5">
        <v>75</v>
      </c>
      <c r="D118" s="3" t="b">
        <f>FALSE()</f>
        <v>0</v>
      </c>
      <c r="E118" s="3" t="b">
        <f>FALSE()</f>
        <v>0</v>
      </c>
      <c r="F118" s="2" t="s">
        <v>23</v>
      </c>
      <c r="G118" s="2" t="s">
        <v>364</v>
      </c>
      <c r="H118" s="2" t="s">
        <v>23</v>
      </c>
      <c r="I118" s="2" t="s">
        <v>365</v>
      </c>
      <c r="J118" s="3" t="b">
        <f>FALSE()</f>
        <v>0</v>
      </c>
      <c r="K118" s="10">
        <v>7.3</v>
      </c>
      <c r="L118" s="10">
        <v>0</v>
      </c>
      <c r="M118" s="2" t="s">
        <v>539</v>
      </c>
      <c r="N118" s="2" t="s">
        <v>25</v>
      </c>
      <c r="O118" s="2" t="s">
        <v>24</v>
      </c>
      <c r="P118" s="2" t="s">
        <v>367</v>
      </c>
      <c r="Q118" s="2" t="s">
        <v>23</v>
      </c>
    </row>
    <row r="119" spans="1:17" x14ac:dyDescent="0.25">
      <c r="A119" s="2" t="s">
        <v>268</v>
      </c>
      <c r="B119" s="2" t="s">
        <v>269</v>
      </c>
      <c r="C119" s="5">
        <v>5</v>
      </c>
      <c r="D119" s="3" t="b">
        <f>TRUE()</f>
        <v>1</v>
      </c>
      <c r="E119" s="3" t="b">
        <f>FALSE()</f>
        <v>0</v>
      </c>
      <c r="F119" s="2" t="s">
        <v>23</v>
      </c>
      <c r="G119" s="2" t="s">
        <v>364</v>
      </c>
      <c r="H119" s="2" t="s">
        <v>23</v>
      </c>
      <c r="I119" s="2" t="s">
        <v>365</v>
      </c>
      <c r="J119" s="3" t="b">
        <f>TRUE()</f>
        <v>1</v>
      </c>
      <c r="K119" s="10">
        <v>10.284000000000001</v>
      </c>
      <c r="L119" s="10">
        <v>0</v>
      </c>
      <c r="M119" s="2" t="s">
        <v>529</v>
      </c>
      <c r="N119" s="2" t="s">
        <v>23</v>
      </c>
      <c r="O119" s="2" t="s">
        <v>24</v>
      </c>
      <c r="P119" s="2" t="s">
        <v>367</v>
      </c>
      <c r="Q119" s="2" t="s">
        <v>23</v>
      </c>
    </row>
    <row r="120" spans="1:17" x14ac:dyDescent="0.25">
      <c r="A120" s="2" t="s">
        <v>292</v>
      </c>
      <c r="B120" s="2" t="s">
        <v>293</v>
      </c>
      <c r="C120" s="5">
        <v>253.125</v>
      </c>
      <c r="D120" s="3" t="b">
        <f>TRUE()</f>
        <v>1</v>
      </c>
      <c r="E120" s="3" t="b">
        <f>FALSE()</f>
        <v>0</v>
      </c>
      <c r="F120" s="2" t="s">
        <v>23</v>
      </c>
      <c r="G120" s="2" t="s">
        <v>364</v>
      </c>
      <c r="H120" s="2" t="s">
        <v>23</v>
      </c>
      <c r="I120" s="2" t="s">
        <v>365</v>
      </c>
      <c r="J120" s="3" t="b">
        <f>FALSE()</f>
        <v>0</v>
      </c>
      <c r="K120" s="10">
        <v>34</v>
      </c>
      <c r="L120" s="10">
        <v>0</v>
      </c>
      <c r="M120" s="2" t="s">
        <v>381</v>
      </c>
      <c r="N120" s="2" t="s">
        <v>62</v>
      </c>
      <c r="O120" s="2" t="s">
        <v>24</v>
      </c>
      <c r="P120" s="2" t="s">
        <v>367</v>
      </c>
      <c r="Q120" s="2" t="s">
        <v>23</v>
      </c>
    </row>
    <row r="121" spans="1:17" x14ac:dyDescent="0.25">
      <c r="A121" s="2" t="s">
        <v>540</v>
      </c>
      <c r="B121" s="2" t="s">
        <v>541</v>
      </c>
      <c r="C121" s="5">
        <v>14.20838</v>
      </c>
      <c r="D121" s="3" t="b">
        <f>FALSE()</f>
        <v>0</v>
      </c>
      <c r="E121" s="3" t="b">
        <f>FALSE()</f>
        <v>0</v>
      </c>
      <c r="F121" s="2" t="s">
        <v>23</v>
      </c>
      <c r="G121" s="2" t="s">
        <v>364</v>
      </c>
      <c r="H121" s="2" t="s">
        <v>23</v>
      </c>
      <c r="I121" s="2" t="s">
        <v>365</v>
      </c>
      <c r="J121" s="3" t="b">
        <f>FALSE()</f>
        <v>0</v>
      </c>
      <c r="K121" s="10">
        <v>25.90024</v>
      </c>
      <c r="L121" s="10">
        <v>0</v>
      </c>
      <c r="M121" s="2" t="s">
        <v>542</v>
      </c>
      <c r="N121" s="2" t="s">
        <v>25</v>
      </c>
      <c r="O121" s="2" t="s">
        <v>24</v>
      </c>
      <c r="P121" s="2" t="s">
        <v>367</v>
      </c>
      <c r="Q121" s="2" t="s">
        <v>23</v>
      </c>
    </row>
    <row r="122" spans="1:17" x14ac:dyDescent="0.25">
      <c r="A122" s="2" t="s">
        <v>209</v>
      </c>
      <c r="B122" s="2" t="s">
        <v>210</v>
      </c>
      <c r="C122" s="5">
        <v>0</v>
      </c>
      <c r="D122" s="3" t="b">
        <f>TRUE()</f>
        <v>1</v>
      </c>
      <c r="E122" s="3" t="b">
        <f>FALSE()</f>
        <v>0</v>
      </c>
      <c r="F122" s="2" t="s">
        <v>23</v>
      </c>
      <c r="G122" s="2" t="s">
        <v>364</v>
      </c>
      <c r="H122" s="2" t="s">
        <v>23</v>
      </c>
      <c r="I122" s="2" t="s">
        <v>365</v>
      </c>
      <c r="J122" s="3" t="b">
        <f>TRUE()</f>
        <v>1</v>
      </c>
      <c r="K122" s="10">
        <v>9.9</v>
      </c>
      <c r="L122" s="10">
        <v>25.9</v>
      </c>
      <c r="M122" s="2" t="s">
        <v>366</v>
      </c>
      <c r="N122" s="2" t="s">
        <v>543</v>
      </c>
      <c r="O122" s="2" t="s">
        <v>24</v>
      </c>
      <c r="P122" s="2" t="s">
        <v>367</v>
      </c>
      <c r="Q122" s="2" t="s">
        <v>23</v>
      </c>
    </row>
    <row r="123" spans="1:17" x14ac:dyDescent="0.25">
      <c r="A123" s="2" t="s">
        <v>222</v>
      </c>
      <c r="B123" s="2" t="s">
        <v>223</v>
      </c>
      <c r="C123" s="5">
        <v>136.52000000000001</v>
      </c>
      <c r="D123" s="3" t="b">
        <f>TRUE()</f>
        <v>1</v>
      </c>
      <c r="E123" s="3" t="b">
        <f>FALSE()</f>
        <v>0</v>
      </c>
      <c r="F123" s="2" t="s">
        <v>23</v>
      </c>
      <c r="G123" s="2" t="s">
        <v>364</v>
      </c>
      <c r="H123" s="2" t="s">
        <v>23</v>
      </c>
      <c r="I123" s="2" t="s">
        <v>365</v>
      </c>
      <c r="J123" s="3" t="b">
        <f>FALSE()</f>
        <v>0</v>
      </c>
      <c r="K123" s="10">
        <v>3.1</v>
      </c>
      <c r="L123" s="10">
        <v>3.1</v>
      </c>
      <c r="M123" s="2" t="s">
        <v>377</v>
      </c>
      <c r="N123" s="2" t="s">
        <v>55</v>
      </c>
      <c r="O123" s="2" t="s">
        <v>24</v>
      </c>
      <c r="P123" s="2" t="s">
        <v>367</v>
      </c>
      <c r="Q123" s="2" t="s">
        <v>23</v>
      </c>
    </row>
    <row r="124" spans="1:17" x14ac:dyDescent="0.25">
      <c r="A124" s="2" t="s">
        <v>310</v>
      </c>
      <c r="B124" s="2" t="s">
        <v>313</v>
      </c>
      <c r="C124" s="5">
        <v>175.44</v>
      </c>
      <c r="D124" s="3" t="b">
        <f>TRUE()</f>
        <v>1</v>
      </c>
      <c r="E124" s="3" t="b">
        <f>FALSE()</f>
        <v>0</v>
      </c>
      <c r="F124" s="2" t="s">
        <v>23</v>
      </c>
      <c r="G124" s="2" t="s">
        <v>364</v>
      </c>
      <c r="H124" s="2" t="s">
        <v>23</v>
      </c>
      <c r="I124" s="2" t="s">
        <v>365</v>
      </c>
      <c r="J124" s="3" t="b">
        <f>FALSE()</f>
        <v>0</v>
      </c>
      <c r="K124" s="10">
        <v>14.65</v>
      </c>
      <c r="L124" s="10">
        <v>14.65</v>
      </c>
      <c r="M124" s="2" t="s">
        <v>428</v>
      </c>
      <c r="N124" s="2" t="s">
        <v>55</v>
      </c>
      <c r="O124" s="2" t="s">
        <v>24</v>
      </c>
      <c r="P124" s="2" t="s">
        <v>367</v>
      </c>
      <c r="Q124" s="2" t="s">
        <v>23</v>
      </c>
    </row>
    <row r="125" spans="1:17" x14ac:dyDescent="0.25">
      <c r="A125" s="2" t="s">
        <v>311</v>
      </c>
      <c r="B125" s="2" t="s">
        <v>312</v>
      </c>
      <c r="C125" s="5">
        <v>0</v>
      </c>
      <c r="D125" s="3" t="b">
        <f>TRUE()</f>
        <v>1</v>
      </c>
      <c r="E125" s="3" t="b">
        <f>FALSE()</f>
        <v>0</v>
      </c>
      <c r="F125" s="2" t="s">
        <v>23</v>
      </c>
      <c r="G125" s="2" t="s">
        <v>364</v>
      </c>
      <c r="H125" s="2" t="s">
        <v>23</v>
      </c>
      <c r="I125" s="2" t="s">
        <v>365</v>
      </c>
      <c r="J125" s="3" t="b">
        <f>TRUE()</f>
        <v>1</v>
      </c>
      <c r="K125" s="10">
        <v>0</v>
      </c>
      <c r="L125" s="10">
        <v>0</v>
      </c>
      <c r="M125" s="2" t="s">
        <v>428</v>
      </c>
      <c r="N125" s="2" t="s">
        <v>25</v>
      </c>
      <c r="O125" s="2" t="s">
        <v>24</v>
      </c>
      <c r="P125" s="2" t="s">
        <v>367</v>
      </c>
      <c r="Q125" s="2" t="s">
        <v>23</v>
      </c>
    </row>
    <row r="126" spans="1:17" x14ac:dyDescent="0.25">
      <c r="A126" s="2" t="s">
        <v>94</v>
      </c>
      <c r="B126" s="2" t="s">
        <v>95</v>
      </c>
      <c r="C126" s="5">
        <v>25</v>
      </c>
      <c r="D126" s="3" t="b">
        <f>FALSE()</f>
        <v>0</v>
      </c>
      <c r="E126" s="3" t="b">
        <f>FALSE()</f>
        <v>0</v>
      </c>
      <c r="F126" s="2" t="s">
        <v>23</v>
      </c>
      <c r="G126" s="2" t="s">
        <v>364</v>
      </c>
      <c r="H126" s="2" t="s">
        <v>23</v>
      </c>
      <c r="I126" s="2" t="s">
        <v>365</v>
      </c>
      <c r="J126" s="3" t="b">
        <f>FALSE()</f>
        <v>0</v>
      </c>
      <c r="K126" s="10">
        <v>15.2</v>
      </c>
      <c r="L126" s="10">
        <v>15.2</v>
      </c>
      <c r="M126" s="2" t="s">
        <v>476</v>
      </c>
      <c r="N126" s="2" t="s">
        <v>25</v>
      </c>
      <c r="O126" s="2" t="s">
        <v>24</v>
      </c>
      <c r="P126" s="2" t="s">
        <v>367</v>
      </c>
      <c r="Q126" s="2" t="s">
        <v>23</v>
      </c>
    </row>
    <row r="127" spans="1:17" x14ac:dyDescent="0.25">
      <c r="A127" s="2" t="s">
        <v>237</v>
      </c>
      <c r="B127" s="2" t="s">
        <v>238</v>
      </c>
      <c r="C127" s="5">
        <v>0</v>
      </c>
      <c r="D127" s="3" t="b">
        <f>TRUE()</f>
        <v>1</v>
      </c>
      <c r="E127" s="3" t="b">
        <f>FALSE()</f>
        <v>0</v>
      </c>
      <c r="F127" s="2" t="s">
        <v>23</v>
      </c>
      <c r="G127" s="2" t="s">
        <v>364</v>
      </c>
      <c r="H127" s="2" t="s">
        <v>23</v>
      </c>
      <c r="I127" s="2" t="s">
        <v>365</v>
      </c>
      <c r="J127" s="3" t="b">
        <f>TRUE()</f>
        <v>1</v>
      </c>
      <c r="K127" s="10">
        <v>0</v>
      </c>
      <c r="L127" s="10">
        <v>0</v>
      </c>
      <c r="M127" s="2" t="s">
        <v>544</v>
      </c>
      <c r="N127" s="2" t="s">
        <v>420</v>
      </c>
      <c r="O127" s="2" t="s">
        <v>24</v>
      </c>
      <c r="P127" s="2" t="s">
        <v>367</v>
      </c>
      <c r="Q127" s="2" t="s">
        <v>23</v>
      </c>
    </row>
    <row r="128" spans="1:17" x14ac:dyDescent="0.25">
      <c r="A128" s="2" t="s">
        <v>545</v>
      </c>
      <c r="B128" s="2" t="s">
        <v>546</v>
      </c>
      <c r="C128" s="5">
        <v>154</v>
      </c>
      <c r="D128" s="3" t="b">
        <f>FALSE()</f>
        <v>0</v>
      </c>
      <c r="E128" s="3" t="b">
        <f>FALSE()</f>
        <v>0</v>
      </c>
      <c r="F128" s="2" t="s">
        <v>23</v>
      </c>
      <c r="G128" s="2" t="s">
        <v>364</v>
      </c>
      <c r="H128" s="2" t="s">
        <v>23</v>
      </c>
      <c r="I128" s="2" t="s">
        <v>365</v>
      </c>
      <c r="J128" s="3" t="b">
        <f>FALSE()</f>
        <v>0</v>
      </c>
      <c r="K128" s="10">
        <v>222.49991</v>
      </c>
      <c r="L128" s="10">
        <v>0</v>
      </c>
      <c r="M128" s="2" t="s">
        <v>547</v>
      </c>
      <c r="N128" s="2" t="s">
        <v>548</v>
      </c>
      <c r="O128" s="2" t="s">
        <v>24</v>
      </c>
      <c r="P128" s="2" t="s">
        <v>367</v>
      </c>
      <c r="Q128" s="2" t="s">
        <v>23</v>
      </c>
    </row>
    <row r="129" spans="1:17" x14ac:dyDescent="0.25">
      <c r="A129" s="2" t="s">
        <v>549</v>
      </c>
      <c r="B129" s="2" t="s">
        <v>550</v>
      </c>
      <c r="C129" s="5">
        <v>139.16050000000001</v>
      </c>
      <c r="D129" s="3" t="b">
        <f>FALSE()</f>
        <v>0</v>
      </c>
      <c r="E129" s="3" t="b">
        <f>FALSE()</f>
        <v>0</v>
      </c>
      <c r="F129" s="2" t="s">
        <v>23</v>
      </c>
      <c r="G129" s="2" t="s">
        <v>364</v>
      </c>
      <c r="H129" s="2" t="s">
        <v>23</v>
      </c>
      <c r="I129" s="2" t="s">
        <v>365</v>
      </c>
      <c r="J129" s="3" t="b">
        <f>FALSE()</f>
        <v>0</v>
      </c>
      <c r="K129" s="10">
        <v>83.999949999999998</v>
      </c>
      <c r="L129" s="10">
        <v>0</v>
      </c>
      <c r="M129" s="2" t="s">
        <v>547</v>
      </c>
      <c r="N129" s="2" t="s">
        <v>548</v>
      </c>
      <c r="O129" s="2" t="s">
        <v>24</v>
      </c>
      <c r="P129" s="2" t="s">
        <v>367</v>
      </c>
      <c r="Q129" s="2" t="s">
        <v>23</v>
      </c>
    </row>
    <row r="130" spans="1:17" x14ac:dyDescent="0.25">
      <c r="A130" s="2" t="s">
        <v>96</v>
      </c>
      <c r="B130" s="2" t="s">
        <v>97</v>
      </c>
      <c r="C130" s="5">
        <v>75</v>
      </c>
      <c r="D130" s="3" t="b">
        <f>FALSE()</f>
        <v>0</v>
      </c>
      <c r="E130" s="3" t="b">
        <f>FALSE()</f>
        <v>0</v>
      </c>
      <c r="F130" s="2" t="s">
        <v>23</v>
      </c>
      <c r="G130" s="2" t="s">
        <v>364</v>
      </c>
      <c r="H130" s="2" t="s">
        <v>23</v>
      </c>
      <c r="I130" s="2" t="s">
        <v>365</v>
      </c>
      <c r="J130" s="3" t="b">
        <f>FALSE()</f>
        <v>0</v>
      </c>
      <c r="K130" s="10">
        <v>15.9</v>
      </c>
      <c r="L130" s="10">
        <v>0</v>
      </c>
      <c r="M130" s="2" t="s">
        <v>428</v>
      </c>
      <c r="N130" s="2" t="s">
        <v>62</v>
      </c>
      <c r="O130" s="2" t="s">
        <v>24</v>
      </c>
      <c r="P130" s="2" t="s">
        <v>367</v>
      </c>
      <c r="Q130" s="2" t="s">
        <v>23</v>
      </c>
    </row>
    <row r="131" spans="1:17" x14ac:dyDescent="0.25">
      <c r="A131" s="2" t="s">
        <v>239</v>
      </c>
      <c r="B131" s="2" t="s">
        <v>240</v>
      </c>
      <c r="C131" s="5">
        <v>72789.121360000005</v>
      </c>
      <c r="D131" s="3" t="b">
        <f>TRUE()</f>
        <v>1</v>
      </c>
      <c r="E131" s="3" t="b">
        <f>FALSE()</f>
        <v>0</v>
      </c>
      <c r="F131" s="2" t="s">
        <v>23</v>
      </c>
      <c r="G131" s="2" t="s">
        <v>364</v>
      </c>
      <c r="H131" s="2" t="s">
        <v>23</v>
      </c>
      <c r="I131" s="2" t="s">
        <v>365</v>
      </c>
      <c r="J131" s="3" t="b">
        <f>FALSE()</f>
        <v>0</v>
      </c>
      <c r="K131" s="10">
        <v>0.93</v>
      </c>
      <c r="L131" s="10">
        <v>0</v>
      </c>
      <c r="M131" s="2" t="s">
        <v>382</v>
      </c>
      <c r="N131" s="2" t="s">
        <v>551</v>
      </c>
      <c r="O131" s="2" t="s">
        <v>24</v>
      </c>
      <c r="P131" s="2" t="s">
        <v>367</v>
      </c>
      <c r="Q131" s="2" t="s">
        <v>23</v>
      </c>
    </row>
    <row r="132" spans="1:17" x14ac:dyDescent="0.25">
      <c r="A132" s="2" t="s">
        <v>552</v>
      </c>
      <c r="B132" s="2" t="s">
        <v>553</v>
      </c>
      <c r="C132" s="5">
        <v>34423.415379999999</v>
      </c>
      <c r="D132" s="3" t="b">
        <f>FALSE()</f>
        <v>0</v>
      </c>
      <c r="E132" s="3" t="b">
        <f>FALSE()</f>
        <v>0</v>
      </c>
      <c r="F132" s="2" t="s">
        <v>23</v>
      </c>
      <c r="G132" s="2" t="s">
        <v>364</v>
      </c>
      <c r="H132" s="2" t="s">
        <v>23</v>
      </c>
      <c r="I132" s="2" t="s">
        <v>365</v>
      </c>
      <c r="J132" s="3" t="b">
        <f>FALSE()</f>
        <v>0</v>
      </c>
      <c r="K132" s="10">
        <v>1.26</v>
      </c>
      <c r="L132" s="10">
        <v>0</v>
      </c>
      <c r="M132" s="2" t="s">
        <v>554</v>
      </c>
      <c r="N132" s="2" t="s">
        <v>551</v>
      </c>
      <c r="O132" s="2" t="s">
        <v>24</v>
      </c>
      <c r="P132" s="2" t="s">
        <v>367</v>
      </c>
      <c r="Q132" s="2" t="s">
        <v>23</v>
      </c>
    </row>
    <row r="133" spans="1:17" x14ac:dyDescent="0.25">
      <c r="A133" s="2" t="s">
        <v>555</v>
      </c>
      <c r="B133" s="2" t="s">
        <v>556</v>
      </c>
      <c r="C133" s="5">
        <v>75</v>
      </c>
      <c r="D133" s="3" t="b">
        <f>FALSE()</f>
        <v>0</v>
      </c>
      <c r="E133" s="3" t="b">
        <f>FALSE()</f>
        <v>0</v>
      </c>
      <c r="F133" s="2" t="s">
        <v>23</v>
      </c>
      <c r="G133" s="2" t="s">
        <v>364</v>
      </c>
      <c r="H133" s="2" t="s">
        <v>23</v>
      </c>
      <c r="I133" s="2" t="s">
        <v>365</v>
      </c>
      <c r="J133" s="3" t="b">
        <f>FALSE()</f>
        <v>0</v>
      </c>
      <c r="K133" s="10">
        <v>106.6</v>
      </c>
      <c r="L133" s="10">
        <v>0</v>
      </c>
      <c r="M133" s="2" t="s">
        <v>426</v>
      </c>
      <c r="N133" s="2" t="s">
        <v>62</v>
      </c>
      <c r="O133" s="2" t="s">
        <v>24</v>
      </c>
      <c r="P133" s="2" t="s">
        <v>367</v>
      </c>
      <c r="Q133" s="2" t="s">
        <v>23</v>
      </c>
    </row>
    <row r="134" spans="1:17" x14ac:dyDescent="0.25">
      <c r="A134" s="2" t="s">
        <v>557</v>
      </c>
      <c r="B134" s="2" t="s">
        <v>558</v>
      </c>
      <c r="C134" s="5">
        <v>45</v>
      </c>
      <c r="D134" s="3" t="b">
        <f>FALSE()</f>
        <v>0</v>
      </c>
      <c r="E134" s="3" t="b">
        <f>FALSE()</f>
        <v>0</v>
      </c>
      <c r="F134" s="2" t="s">
        <v>23</v>
      </c>
      <c r="G134" s="2" t="s">
        <v>364</v>
      </c>
      <c r="H134" s="2" t="s">
        <v>23</v>
      </c>
      <c r="I134" s="2" t="s">
        <v>365</v>
      </c>
      <c r="J134" s="3" t="b">
        <f>FALSE()</f>
        <v>0</v>
      </c>
      <c r="K134" s="10">
        <v>32.5</v>
      </c>
      <c r="L134" s="10">
        <v>0</v>
      </c>
      <c r="M134" s="2" t="s">
        <v>372</v>
      </c>
      <c r="N134" s="2" t="s">
        <v>23</v>
      </c>
      <c r="O134" s="2" t="s">
        <v>24</v>
      </c>
      <c r="P134" s="2" t="s">
        <v>367</v>
      </c>
      <c r="Q134" s="2" t="s">
        <v>23</v>
      </c>
    </row>
    <row r="135" spans="1:17" x14ac:dyDescent="0.25">
      <c r="A135" s="2" t="s">
        <v>559</v>
      </c>
      <c r="B135" s="2" t="s">
        <v>560</v>
      </c>
      <c r="C135" s="5">
        <v>0</v>
      </c>
      <c r="D135" s="3" t="b">
        <f>FALSE()</f>
        <v>0</v>
      </c>
      <c r="E135" s="3" t="b">
        <f>FALSE()</f>
        <v>0</v>
      </c>
      <c r="F135" s="2" t="s">
        <v>23</v>
      </c>
      <c r="G135" s="2" t="s">
        <v>364</v>
      </c>
      <c r="H135" s="2" t="s">
        <v>23</v>
      </c>
      <c r="I135" s="2" t="s">
        <v>365</v>
      </c>
      <c r="J135" s="3" t="b">
        <f>TRUE()</f>
        <v>1</v>
      </c>
      <c r="K135" s="10">
        <v>75.400000000000006</v>
      </c>
      <c r="L135" s="10">
        <v>0</v>
      </c>
      <c r="M135" s="2" t="s">
        <v>561</v>
      </c>
      <c r="N135" s="2" t="s">
        <v>62</v>
      </c>
      <c r="O135" s="2" t="s">
        <v>24</v>
      </c>
      <c r="P135" s="2" t="s">
        <v>367</v>
      </c>
      <c r="Q135" s="2" t="s">
        <v>23</v>
      </c>
    </row>
    <row r="136" spans="1:17" x14ac:dyDescent="0.25">
      <c r="A136" s="2" t="s">
        <v>562</v>
      </c>
      <c r="B136" s="2" t="s">
        <v>563</v>
      </c>
      <c r="C136" s="5">
        <v>18.45</v>
      </c>
      <c r="D136" s="3" t="b">
        <f>FALSE()</f>
        <v>0</v>
      </c>
      <c r="E136" s="3" t="b">
        <f>FALSE()</f>
        <v>0</v>
      </c>
      <c r="F136" s="2" t="s">
        <v>23</v>
      </c>
      <c r="G136" s="2" t="s">
        <v>364</v>
      </c>
      <c r="H136" s="2" t="s">
        <v>23</v>
      </c>
      <c r="I136" s="2" t="s">
        <v>365</v>
      </c>
      <c r="J136" s="3" t="b">
        <f>FALSE()</f>
        <v>0</v>
      </c>
      <c r="K136" s="10">
        <v>15.95</v>
      </c>
      <c r="L136" s="10">
        <v>0</v>
      </c>
      <c r="M136" s="2" t="s">
        <v>413</v>
      </c>
      <c r="N136" s="2" t="s">
        <v>125</v>
      </c>
      <c r="O136" s="2" t="s">
        <v>24</v>
      </c>
      <c r="P136" s="2" t="s">
        <v>367</v>
      </c>
      <c r="Q136" s="2" t="s">
        <v>23</v>
      </c>
    </row>
    <row r="137" spans="1:17" x14ac:dyDescent="0.25">
      <c r="A137" s="2" t="s">
        <v>98</v>
      </c>
      <c r="B137" s="2" t="s">
        <v>99</v>
      </c>
      <c r="C137" s="5">
        <v>182.78</v>
      </c>
      <c r="D137" s="3" t="b">
        <f>FALSE()</f>
        <v>0</v>
      </c>
      <c r="E137" s="3" t="b">
        <f>FALSE()</f>
        <v>0</v>
      </c>
      <c r="F137" s="2" t="s">
        <v>23</v>
      </c>
      <c r="G137" s="2" t="s">
        <v>364</v>
      </c>
      <c r="H137" s="2" t="s">
        <v>23</v>
      </c>
      <c r="I137" s="2" t="s">
        <v>365</v>
      </c>
      <c r="J137" s="3" t="b">
        <f>FALSE()</f>
        <v>0</v>
      </c>
      <c r="K137" s="10">
        <v>8.52</v>
      </c>
      <c r="L137" s="10">
        <v>0</v>
      </c>
      <c r="M137" s="2" t="s">
        <v>460</v>
      </c>
      <c r="N137" s="2" t="s">
        <v>25</v>
      </c>
      <c r="O137" s="2" t="s">
        <v>24</v>
      </c>
      <c r="P137" s="2" t="s">
        <v>367</v>
      </c>
      <c r="Q137" s="2" t="s">
        <v>23</v>
      </c>
    </row>
    <row r="138" spans="1:17" x14ac:dyDescent="0.25">
      <c r="A138" s="2" t="s">
        <v>100</v>
      </c>
      <c r="B138" s="2" t="s">
        <v>101</v>
      </c>
      <c r="C138" s="5">
        <v>52.631419999999999</v>
      </c>
      <c r="D138" s="3" t="b">
        <f>FALSE()</f>
        <v>0</v>
      </c>
      <c r="E138" s="3" t="b">
        <f>FALSE()</f>
        <v>0</v>
      </c>
      <c r="F138" s="2" t="s">
        <v>23</v>
      </c>
      <c r="G138" s="2" t="s">
        <v>364</v>
      </c>
      <c r="H138" s="2" t="s">
        <v>23</v>
      </c>
      <c r="I138" s="2" t="s">
        <v>365</v>
      </c>
      <c r="J138" s="3" t="b">
        <f>FALSE()</f>
        <v>0</v>
      </c>
      <c r="K138" s="10">
        <v>66.669709999999995</v>
      </c>
      <c r="L138" s="10">
        <v>0</v>
      </c>
      <c r="M138" s="2" t="s">
        <v>381</v>
      </c>
      <c r="N138" s="2" t="s">
        <v>102</v>
      </c>
      <c r="O138" s="2" t="s">
        <v>24</v>
      </c>
      <c r="P138" s="2" t="s">
        <v>367</v>
      </c>
      <c r="Q138" s="2" t="s">
        <v>23</v>
      </c>
    </row>
    <row r="139" spans="1:17" x14ac:dyDescent="0.25">
      <c r="A139" s="2" t="s">
        <v>564</v>
      </c>
      <c r="B139" s="2" t="s">
        <v>565</v>
      </c>
      <c r="C139" s="5">
        <v>0</v>
      </c>
      <c r="D139" s="3" t="b">
        <f>FALSE()</f>
        <v>0</v>
      </c>
      <c r="E139" s="3" t="b">
        <f>FALSE()</f>
        <v>0</v>
      </c>
      <c r="F139" s="2" t="s">
        <v>23</v>
      </c>
      <c r="G139" s="2" t="s">
        <v>364</v>
      </c>
      <c r="H139" s="2" t="s">
        <v>23</v>
      </c>
      <c r="I139" s="2" t="s">
        <v>365</v>
      </c>
      <c r="J139" s="3" t="b">
        <f>FALSE()</f>
        <v>0</v>
      </c>
      <c r="K139" s="10">
        <v>0</v>
      </c>
      <c r="L139" s="10">
        <v>0</v>
      </c>
      <c r="M139" s="2" t="s">
        <v>566</v>
      </c>
      <c r="N139" s="2" t="s">
        <v>55</v>
      </c>
      <c r="O139" s="2" t="s">
        <v>24</v>
      </c>
      <c r="P139" s="2" t="s">
        <v>367</v>
      </c>
      <c r="Q139" s="2" t="s">
        <v>23</v>
      </c>
    </row>
    <row r="140" spans="1:17" x14ac:dyDescent="0.25">
      <c r="A140" s="2" t="s">
        <v>298</v>
      </c>
      <c r="B140" s="2" t="s">
        <v>299</v>
      </c>
      <c r="C140" s="5">
        <v>57.5</v>
      </c>
      <c r="D140" s="3" t="b">
        <f>TRUE()</f>
        <v>1</v>
      </c>
      <c r="E140" s="3" t="b">
        <f>FALSE()</f>
        <v>0</v>
      </c>
      <c r="F140" s="2" t="s">
        <v>23</v>
      </c>
      <c r="G140" s="2" t="s">
        <v>364</v>
      </c>
      <c r="H140" s="2" t="s">
        <v>23</v>
      </c>
      <c r="I140" s="2" t="s">
        <v>365</v>
      </c>
      <c r="J140" s="3" t="b">
        <f>FALSE()</f>
        <v>0</v>
      </c>
      <c r="K140" s="10">
        <v>2.79</v>
      </c>
      <c r="L140" s="10">
        <v>0</v>
      </c>
      <c r="M140" s="2" t="s">
        <v>446</v>
      </c>
      <c r="N140" s="2" t="s">
        <v>164</v>
      </c>
      <c r="O140" s="2" t="s">
        <v>24</v>
      </c>
      <c r="P140" s="2" t="s">
        <v>367</v>
      </c>
      <c r="Q140" s="2" t="s">
        <v>23</v>
      </c>
    </row>
    <row r="141" spans="1:17" x14ac:dyDescent="0.25">
      <c r="A141" s="2" t="s">
        <v>567</v>
      </c>
      <c r="B141" s="2" t="s">
        <v>568</v>
      </c>
      <c r="C141" s="5">
        <v>0</v>
      </c>
      <c r="D141" s="3" t="b">
        <f>FALSE()</f>
        <v>0</v>
      </c>
      <c r="E141" s="3" t="b">
        <f>FALSE()</f>
        <v>0</v>
      </c>
      <c r="F141" s="2" t="s">
        <v>23</v>
      </c>
      <c r="G141" s="2" t="s">
        <v>364</v>
      </c>
      <c r="H141" s="2" t="s">
        <v>23</v>
      </c>
      <c r="I141" s="2" t="s">
        <v>487</v>
      </c>
      <c r="J141" s="3" t="b">
        <f>FALSE()</f>
        <v>0</v>
      </c>
      <c r="K141" s="10">
        <v>4.4999999999999998E-2</v>
      </c>
      <c r="L141" s="10">
        <v>0</v>
      </c>
      <c r="M141" s="2" t="s">
        <v>535</v>
      </c>
      <c r="N141" s="2" t="s">
        <v>23</v>
      </c>
      <c r="O141" s="2" t="s">
        <v>24</v>
      </c>
      <c r="P141" s="2" t="s">
        <v>367</v>
      </c>
      <c r="Q141" s="2" t="s">
        <v>23</v>
      </c>
    </row>
    <row r="142" spans="1:17" x14ac:dyDescent="0.25">
      <c r="A142" s="2" t="s">
        <v>103</v>
      </c>
      <c r="B142" s="2" t="s">
        <v>104</v>
      </c>
      <c r="C142" s="5">
        <v>237</v>
      </c>
      <c r="D142" s="3" t="b">
        <f>FALSE()</f>
        <v>0</v>
      </c>
      <c r="E142" s="3" t="b">
        <f>FALSE()</f>
        <v>0</v>
      </c>
      <c r="F142" s="2" t="s">
        <v>23</v>
      </c>
      <c r="G142" s="2" t="s">
        <v>364</v>
      </c>
      <c r="H142" s="2" t="s">
        <v>23</v>
      </c>
      <c r="I142" s="2" t="s">
        <v>365</v>
      </c>
      <c r="J142" s="3" t="b">
        <f>FALSE()</f>
        <v>0</v>
      </c>
      <c r="K142" s="10">
        <v>20.100000000000001</v>
      </c>
      <c r="L142" s="10">
        <v>0</v>
      </c>
      <c r="M142" s="2" t="s">
        <v>569</v>
      </c>
      <c r="N142" s="2" t="s">
        <v>25</v>
      </c>
      <c r="O142" s="2" t="s">
        <v>24</v>
      </c>
      <c r="P142" s="2" t="s">
        <v>367</v>
      </c>
      <c r="Q142" s="2" t="s">
        <v>23</v>
      </c>
    </row>
    <row r="143" spans="1:17" x14ac:dyDescent="0.25">
      <c r="A143" s="2" t="s">
        <v>570</v>
      </c>
      <c r="B143" s="2" t="s">
        <v>571</v>
      </c>
      <c r="C143" s="5">
        <v>0</v>
      </c>
      <c r="D143" s="3" t="b">
        <f>FALSE()</f>
        <v>0</v>
      </c>
      <c r="E143" s="3" t="b">
        <f>FALSE()</f>
        <v>0</v>
      </c>
      <c r="F143" s="2" t="s">
        <v>23</v>
      </c>
      <c r="G143" s="2" t="s">
        <v>364</v>
      </c>
      <c r="H143" s="2" t="s">
        <v>23</v>
      </c>
      <c r="I143" s="2" t="s">
        <v>365</v>
      </c>
      <c r="J143" s="3" t="b">
        <f>TRUE()</f>
        <v>1</v>
      </c>
      <c r="K143" s="10">
        <v>0</v>
      </c>
      <c r="L143" s="10">
        <v>0</v>
      </c>
      <c r="M143" s="2" t="s">
        <v>572</v>
      </c>
      <c r="N143" s="2" t="s">
        <v>25</v>
      </c>
      <c r="O143" s="2" t="s">
        <v>24</v>
      </c>
      <c r="P143" s="2" t="s">
        <v>367</v>
      </c>
      <c r="Q143" s="2" t="s">
        <v>23</v>
      </c>
    </row>
    <row r="144" spans="1:17" x14ac:dyDescent="0.25">
      <c r="A144" s="2" t="s">
        <v>105</v>
      </c>
      <c r="B144" s="2" t="s">
        <v>106</v>
      </c>
      <c r="C144" s="5">
        <v>67.2</v>
      </c>
      <c r="D144" s="3" t="b">
        <f>FALSE()</f>
        <v>0</v>
      </c>
      <c r="E144" s="3" t="b">
        <f>FALSE()</f>
        <v>0</v>
      </c>
      <c r="F144" s="2" t="s">
        <v>23</v>
      </c>
      <c r="G144" s="2" t="s">
        <v>364</v>
      </c>
      <c r="H144" s="2" t="s">
        <v>23</v>
      </c>
      <c r="I144" s="2" t="s">
        <v>365</v>
      </c>
      <c r="J144" s="3" t="b">
        <f>FALSE()</f>
        <v>0</v>
      </c>
      <c r="K144" s="10">
        <v>7.25</v>
      </c>
      <c r="L144" s="10">
        <v>0</v>
      </c>
      <c r="M144" s="2" t="s">
        <v>428</v>
      </c>
      <c r="N144" s="2" t="s">
        <v>25</v>
      </c>
      <c r="O144" s="2" t="s">
        <v>24</v>
      </c>
      <c r="P144" s="2" t="s">
        <v>367</v>
      </c>
      <c r="Q144" s="2" t="s">
        <v>23</v>
      </c>
    </row>
    <row r="145" spans="1:17" x14ac:dyDescent="0.25">
      <c r="A145" s="2" t="s">
        <v>107</v>
      </c>
      <c r="B145" s="2" t="s">
        <v>108</v>
      </c>
      <c r="C145" s="5">
        <v>66.55</v>
      </c>
      <c r="D145" s="3" t="b">
        <f>FALSE()</f>
        <v>0</v>
      </c>
      <c r="E145" s="3" t="b">
        <f>FALSE()</f>
        <v>0</v>
      </c>
      <c r="F145" s="2" t="s">
        <v>23</v>
      </c>
      <c r="G145" s="2" t="s">
        <v>364</v>
      </c>
      <c r="H145" s="2" t="s">
        <v>23</v>
      </c>
      <c r="I145" s="2" t="s">
        <v>365</v>
      </c>
      <c r="J145" s="3" t="b">
        <f>FALSE()</f>
        <v>0</v>
      </c>
      <c r="K145" s="10">
        <v>20.350000000000001</v>
      </c>
      <c r="L145" s="10">
        <v>0</v>
      </c>
      <c r="M145" s="2" t="s">
        <v>372</v>
      </c>
      <c r="N145" s="2" t="s">
        <v>25</v>
      </c>
      <c r="O145" s="2" t="s">
        <v>24</v>
      </c>
      <c r="P145" s="2" t="s">
        <v>367</v>
      </c>
      <c r="Q145" s="2" t="s">
        <v>23</v>
      </c>
    </row>
    <row r="146" spans="1:17" x14ac:dyDescent="0.25">
      <c r="A146" s="2" t="s">
        <v>109</v>
      </c>
      <c r="B146" s="2" t="s">
        <v>110</v>
      </c>
      <c r="C146" s="5">
        <v>98.268000000000001</v>
      </c>
      <c r="D146" s="3" t="b">
        <f>FALSE()</f>
        <v>0</v>
      </c>
      <c r="E146" s="3" t="b">
        <f>FALSE()</f>
        <v>0</v>
      </c>
      <c r="F146" s="2" t="s">
        <v>23</v>
      </c>
      <c r="G146" s="2" t="s">
        <v>364</v>
      </c>
      <c r="H146" s="2" t="s">
        <v>23</v>
      </c>
      <c r="I146" s="2" t="s">
        <v>365</v>
      </c>
      <c r="J146" s="3" t="b">
        <f>FALSE()</f>
        <v>0</v>
      </c>
      <c r="K146" s="10">
        <v>8.8000000000000007</v>
      </c>
      <c r="L146" s="10">
        <v>0</v>
      </c>
      <c r="M146" s="2" t="s">
        <v>372</v>
      </c>
      <c r="N146" s="2" t="s">
        <v>25</v>
      </c>
      <c r="O146" s="2" t="s">
        <v>24</v>
      </c>
      <c r="P146" s="2" t="s">
        <v>367</v>
      </c>
      <c r="Q146" s="2" t="s">
        <v>23</v>
      </c>
    </row>
    <row r="147" spans="1:17" x14ac:dyDescent="0.25">
      <c r="A147" s="2" t="s">
        <v>111</v>
      </c>
      <c r="B147" s="2" t="s">
        <v>112</v>
      </c>
      <c r="C147" s="5">
        <v>0</v>
      </c>
      <c r="D147" s="3" t="b">
        <f>FALSE()</f>
        <v>0</v>
      </c>
      <c r="E147" s="3" t="b">
        <f>FALSE()</f>
        <v>0</v>
      </c>
      <c r="F147" s="2" t="s">
        <v>23</v>
      </c>
      <c r="G147" s="2" t="s">
        <v>364</v>
      </c>
      <c r="H147" s="2" t="s">
        <v>23</v>
      </c>
      <c r="I147" s="2" t="s">
        <v>365</v>
      </c>
      <c r="J147" s="3" t="b">
        <f>FALSE()</f>
        <v>0</v>
      </c>
      <c r="K147" s="10">
        <v>0</v>
      </c>
      <c r="L147" s="10">
        <v>0</v>
      </c>
      <c r="M147" s="2" t="s">
        <v>381</v>
      </c>
      <c r="N147" s="2" t="s">
        <v>25</v>
      </c>
      <c r="O147" s="2" t="s">
        <v>24</v>
      </c>
      <c r="P147" s="2" t="s">
        <v>367</v>
      </c>
      <c r="Q147" s="2" t="s">
        <v>23</v>
      </c>
    </row>
    <row r="148" spans="1:17" x14ac:dyDescent="0.25">
      <c r="A148" s="2" t="s">
        <v>113</v>
      </c>
      <c r="B148" s="2" t="s">
        <v>114</v>
      </c>
      <c r="C148" s="5">
        <v>49.134</v>
      </c>
      <c r="D148" s="3" t="b">
        <f>FALSE()</f>
        <v>0</v>
      </c>
      <c r="E148" s="3" t="b">
        <f>FALSE()</f>
        <v>0</v>
      </c>
      <c r="F148" s="2" t="s">
        <v>23</v>
      </c>
      <c r="G148" s="2" t="s">
        <v>364</v>
      </c>
      <c r="H148" s="2" t="s">
        <v>23</v>
      </c>
      <c r="I148" s="2" t="s">
        <v>365</v>
      </c>
      <c r="J148" s="3" t="b">
        <f>FALSE()</f>
        <v>0</v>
      </c>
      <c r="K148" s="10">
        <v>52.4</v>
      </c>
      <c r="L148" s="10">
        <v>0</v>
      </c>
      <c r="M148" s="2" t="s">
        <v>381</v>
      </c>
      <c r="N148" s="2" t="s">
        <v>25</v>
      </c>
      <c r="O148" s="2" t="s">
        <v>24</v>
      </c>
      <c r="P148" s="2" t="s">
        <v>367</v>
      </c>
      <c r="Q148" s="2" t="s">
        <v>23</v>
      </c>
    </row>
    <row r="149" spans="1:17" x14ac:dyDescent="0.25">
      <c r="A149" s="2" t="s">
        <v>115</v>
      </c>
      <c r="B149" s="2" t="s">
        <v>116</v>
      </c>
      <c r="C149" s="5">
        <v>24.134</v>
      </c>
      <c r="D149" s="3" t="b">
        <f>TRUE()</f>
        <v>1</v>
      </c>
      <c r="E149" s="3" t="b">
        <f>FALSE()</f>
        <v>0</v>
      </c>
      <c r="F149" s="2" t="s">
        <v>23</v>
      </c>
      <c r="G149" s="2" t="s">
        <v>364</v>
      </c>
      <c r="H149" s="2" t="s">
        <v>23</v>
      </c>
      <c r="I149" s="2" t="s">
        <v>365</v>
      </c>
      <c r="J149" s="3" t="b">
        <f>FALSE()</f>
        <v>0</v>
      </c>
      <c r="K149" s="10">
        <v>23.6</v>
      </c>
      <c r="L149" s="10">
        <v>0</v>
      </c>
      <c r="M149" s="2" t="s">
        <v>417</v>
      </c>
      <c r="N149" s="2" t="s">
        <v>25</v>
      </c>
      <c r="O149" s="2" t="s">
        <v>24</v>
      </c>
      <c r="P149" s="2" t="s">
        <v>367</v>
      </c>
      <c r="Q149" s="2" t="s">
        <v>23</v>
      </c>
    </row>
    <row r="150" spans="1:17" x14ac:dyDescent="0.25">
      <c r="A150" s="2" t="s">
        <v>117</v>
      </c>
      <c r="B150" s="2" t="s">
        <v>118</v>
      </c>
      <c r="C150" s="5">
        <v>10.9</v>
      </c>
      <c r="D150" s="3" t="b">
        <f>FALSE()</f>
        <v>0</v>
      </c>
      <c r="E150" s="3" t="b">
        <f>FALSE()</f>
        <v>0</v>
      </c>
      <c r="F150" s="2" t="s">
        <v>23</v>
      </c>
      <c r="G150" s="2" t="s">
        <v>364</v>
      </c>
      <c r="H150" s="2" t="s">
        <v>23</v>
      </c>
      <c r="I150" s="2" t="s">
        <v>365</v>
      </c>
      <c r="J150" s="3" t="b">
        <f>FALSE()</f>
        <v>0</v>
      </c>
      <c r="K150" s="10">
        <v>43.4</v>
      </c>
      <c r="L150" s="10">
        <v>0</v>
      </c>
      <c r="M150" s="2" t="s">
        <v>573</v>
      </c>
      <c r="N150" s="2" t="s">
        <v>25</v>
      </c>
      <c r="O150" s="2" t="s">
        <v>24</v>
      </c>
      <c r="P150" s="2" t="s">
        <v>367</v>
      </c>
      <c r="Q150" s="2" t="s">
        <v>23</v>
      </c>
    </row>
    <row r="151" spans="1:17" x14ac:dyDescent="0.25">
      <c r="A151" s="2" t="s">
        <v>119</v>
      </c>
      <c r="B151" s="2" t="s">
        <v>120</v>
      </c>
      <c r="C151" s="5">
        <v>3</v>
      </c>
      <c r="D151" s="3" t="b">
        <f>FALSE()</f>
        <v>0</v>
      </c>
      <c r="E151" s="3" t="b">
        <f>FALSE()</f>
        <v>0</v>
      </c>
      <c r="F151" s="2" t="s">
        <v>23</v>
      </c>
      <c r="G151" s="2" t="s">
        <v>364</v>
      </c>
      <c r="H151" s="2" t="s">
        <v>23</v>
      </c>
      <c r="I151" s="2" t="s">
        <v>365</v>
      </c>
      <c r="J151" s="3" t="b">
        <f>FALSE()</f>
        <v>0</v>
      </c>
      <c r="K151" s="10">
        <v>277</v>
      </c>
      <c r="L151" s="10">
        <v>0</v>
      </c>
      <c r="M151" s="2" t="s">
        <v>542</v>
      </c>
      <c r="N151" s="2" t="s">
        <v>25</v>
      </c>
      <c r="O151" s="2" t="s">
        <v>24</v>
      </c>
      <c r="P151" s="2" t="s">
        <v>367</v>
      </c>
      <c r="Q151" s="2" t="s">
        <v>23</v>
      </c>
    </row>
    <row r="152" spans="1:17" x14ac:dyDescent="0.25">
      <c r="A152" s="2" t="s">
        <v>574</v>
      </c>
      <c r="B152" s="2" t="s">
        <v>575</v>
      </c>
      <c r="C152" s="5">
        <v>4.0000000000000002E-4</v>
      </c>
      <c r="D152" s="3" t="b">
        <f>FALSE()</f>
        <v>0</v>
      </c>
      <c r="E152" s="3" t="b">
        <f>FALSE()</f>
        <v>0</v>
      </c>
      <c r="F152" s="2" t="s">
        <v>23</v>
      </c>
      <c r="G152" s="2" t="s">
        <v>364</v>
      </c>
      <c r="H152" s="2" t="s">
        <v>23</v>
      </c>
      <c r="I152" s="2" t="s">
        <v>365</v>
      </c>
      <c r="J152" s="3" t="b">
        <f>TRUE()</f>
        <v>1</v>
      </c>
      <c r="K152" s="10">
        <v>15.5</v>
      </c>
      <c r="L152" s="10">
        <v>15.5</v>
      </c>
      <c r="M152" s="2" t="s">
        <v>576</v>
      </c>
      <c r="N152" s="2" t="s">
        <v>25</v>
      </c>
      <c r="O152" s="2" t="s">
        <v>24</v>
      </c>
      <c r="P152" s="2" t="s">
        <v>367</v>
      </c>
      <c r="Q152" s="2" t="s">
        <v>23</v>
      </c>
    </row>
    <row r="153" spans="1:17" x14ac:dyDescent="0.25">
      <c r="A153" s="2" t="s">
        <v>577</v>
      </c>
      <c r="B153" s="2" t="s">
        <v>578</v>
      </c>
      <c r="C153" s="5">
        <v>16</v>
      </c>
      <c r="D153" s="3" t="b">
        <f>FALSE()</f>
        <v>0</v>
      </c>
      <c r="E153" s="3" t="b">
        <f>FALSE()</f>
        <v>0</v>
      </c>
      <c r="F153" s="2" t="s">
        <v>23</v>
      </c>
      <c r="G153" s="2" t="s">
        <v>364</v>
      </c>
      <c r="H153" s="2" t="s">
        <v>23</v>
      </c>
      <c r="I153" s="2" t="s">
        <v>365</v>
      </c>
      <c r="J153" s="3" t="b">
        <f>FALSE()</f>
        <v>0</v>
      </c>
      <c r="K153" s="10">
        <v>200</v>
      </c>
      <c r="L153" s="10">
        <v>0</v>
      </c>
      <c r="M153" s="2" t="s">
        <v>579</v>
      </c>
      <c r="N153" s="2" t="s">
        <v>62</v>
      </c>
      <c r="O153" s="2" t="s">
        <v>24</v>
      </c>
      <c r="P153" s="2" t="s">
        <v>367</v>
      </c>
      <c r="Q153" s="2" t="s">
        <v>23</v>
      </c>
    </row>
    <row r="154" spans="1:17" x14ac:dyDescent="0.25">
      <c r="A154" s="2" t="s">
        <v>121</v>
      </c>
      <c r="B154" s="2" t="s">
        <v>122</v>
      </c>
      <c r="C154" s="5">
        <v>50</v>
      </c>
      <c r="D154" s="3" t="b">
        <f>FALSE()</f>
        <v>0</v>
      </c>
      <c r="E154" s="3" t="b">
        <f>FALSE()</f>
        <v>0</v>
      </c>
      <c r="F154" s="2" t="s">
        <v>23</v>
      </c>
      <c r="G154" s="2" t="s">
        <v>364</v>
      </c>
      <c r="H154" s="2" t="s">
        <v>23</v>
      </c>
      <c r="I154" s="2" t="s">
        <v>365</v>
      </c>
      <c r="J154" s="3" t="b">
        <f>FALSE()</f>
        <v>0</v>
      </c>
      <c r="K154" s="10">
        <v>25.2</v>
      </c>
      <c r="L154" s="10">
        <v>0</v>
      </c>
      <c r="M154" s="2" t="s">
        <v>381</v>
      </c>
      <c r="N154" s="2" t="s">
        <v>62</v>
      </c>
      <c r="O154" s="2" t="s">
        <v>24</v>
      </c>
      <c r="P154" s="2" t="s">
        <v>367</v>
      </c>
      <c r="Q154" s="2" t="s">
        <v>23</v>
      </c>
    </row>
    <row r="155" spans="1:17" x14ac:dyDescent="0.25">
      <c r="A155" s="2" t="s">
        <v>123</v>
      </c>
      <c r="B155" s="2" t="s">
        <v>124</v>
      </c>
      <c r="C155" s="5">
        <v>3.7083499999999998</v>
      </c>
      <c r="D155" s="3" t="b">
        <f>TRUE()</f>
        <v>1</v>
      </c>
      <c r="E155" s="3" t="b">
        <f>FALSE()</f>
        <v>0</v>
      </c>
      <c r="F155" s="2" t="s">
        <v>23</v>
      </c>
      <c r="G155" s="2" t="s">
        <v>364</v>
      </c>
      <c r="H155" s="2" t="s">
        <v>23</v>
      </c>
      <c r="I155" s="2" t="s">
        <v>365</v>
      </c>
      <c r="J155" s="3" t="b">
        <f>FALSE()</f>
        <v>0</v>
      </c>
      <c r="K155" s="10">
        <v>5.9952699999999997</v>
      </c>
      <c r="L155" s="10">
        <v>0</v>
      </c>
      <c r="M155" s="2" t="s">
        <v>580</v>
      </c>
      <c r="N155" s="2" t="s">
        <v>125</v>
      </c>
      <c r="O155" s="2" t="s">
        <v>24</v>
      </c>
      <c r="P155" s="2" t="s">
        <v>367</v>
      </c>
      <c r="Q155" s="2" t="s">
        <v>23</v>
      </c>
    </row>
    <row r="156" spans="1:17" x14ac:dyDescent="0.25">
      <c r="A156" s="2" t="s">
        <v>126</v>
      </c>
      <c r="B156" s="2" t="s">
        <v>127</v>
      </c>
      <c r="C156" s="5">
        <v>50</v>
      </c>
      <c r="D156" s="3" t="b">
        <f>FALSE()</f>
        <v>0</v>
      </c>
      <c r="E156" s="3" t="b">
        <f>FALSE()</f>
        <v>0</v>
      </c>
      <c r="F156" s="2" t="s">
        <v>23</v>
      </c>
      <c r="G156" s="2" t="s">
        <v>364</v>
      </c>
      <c r="H156" s="2" t="s">
        <v>23</v>
      </c>
      <c r="I156" s="2" t="s">
        <v>365</v>
      </c>
      <c r="J156" s="3" t="b">
        <f>FALSE()</f>
        <v>0</v>
      </c>
      <c r="K156" s="10">
        <v>53.2</v>
      </c>
      <c r="L156" s="10">
        <v>0</v>
      </c>
      <c r="M156" s="2" t="s">
        <v>381</v>
      </c>
      <c r="N156" s="2" t="s">
        <v>62</v>
      </c>
      <c r="O156" s="2" t="s">
        <v>24</v>
      </c>
      <c r="P156" s="2" t="s">
        <v>367</v>
      </c>
      <c r="Q156" s="2" t="s">
        <v>23</v>
      </c>
    </row>
    <row r="157" spans="1:17" x14ac:dyDescent="0.25">
      <c r="A157" s="2" t="s">
        <v>581</v>
      </c>
      <c r="B157" s="2" t="s">
        <v>582</v>
      </c>
      <c r="C157" s="5">
        <v>0</v>
      </c>
      <c r="D157" s="3" t="b">
        <f>FALSE()</f>
        <v>0</v>
      </c>
      <c r="E157" s="3" t="b">
        <f>FALSE()</f>
        <v>0</v>
      </c>
      <c r="F157" s="2" t="s">
        <v>23</v>
      </c>
      <c r="G157" s="2" t="s">
        <v>364</v>
      </c>
      <c r="H157" s="2" t="s">
        <v>23</v>
      </c>
      <c r="I157" s="2" t="s">
        <v>365</v>
      </c>
      <c r="J157" s="3" t="b">
        <f>TRUE()</f>
        <v>1</v>
      </c>
      <c r="K157" s="10">
        <v>0</v>
      </c>
      <c r="L157" s="10">
        <v>0</v>
      </c>
      <c r="M157" s="2" t="s">
        <v>583</v>
      </c>
      <c r="N157" s="2" t="s">
        <v>25</v>
      </c>
      <c r="O157" s="2" t="s">
        <v>24</v>
      </c>
      <c r="P157" s="2" t="s">
        <v>367</v>
      </c>
      <c r="Q157" s="2" t="s">
        <v>23</v>
      </c>
    </row>
    <row r="158" spans="1:17" x14ac:dyDescent="0.25">
      <c r="A158" s="2" t="s">
        <v>128</v>
      </c>
      <c r="B158" s="2" t="s">
        <v>129</v>
      </c>
      <c r="C158" s="5">
        <v>5</v>
      </c>
      <c r="D158" s="3" t="b">
        <f>FALSE()</f>
        <v>0</v>
      </c>
      <c r="E158" s="3" t="b">
        <f>FALSE()</f>
        <v>0</v>
      </c>
      <c r="F158" s="2" t="s">
        <v>23</v>
      </c>
      <c r="G158" s="2" t="s">
        <v>364</v>
      </c>
      <c r="H158" s="2" t="s">
        <v>23</v>
      </c>
      <c r="I158" s="2" t="s">
        <v>365</v>
      </c>
      <c r="J158" s="3" t="b">
        <f>FALSE()</f>
        <v>0</v>
      </c>
      <c r="K158" s="10">
        <v>0</v>
      </c>
      <c r="L158" s="10">
        <v>0</v>
      </c>
      <c r="M158" s="2" t="s">
        <v>417</v>
      </c>
      <c r="N158" s="2" t="s">
        <v>25</v>
      </c>
      <c r="O158" s="2" t="s">
        <v>24</v>
      </c>
      <c r="P158" s="2" t="s">
        <v>367</v>
      </c>
      <c r="Q158" s="2" t="s">
        <v>23</v>
      </c>
    </row>
    <row r="159" spans="1:17" x14ac:dyDescent="0.25">
      <c r="A159" s="2" t="s">
        <v>130</v>
      </c>
      <c r="B159" s="2" t="s">
        <v>131</v>
      </c>
      <c r="C159" s="5">
        <v>5</v>
      </c>
      <c r="D159" s="3" t="b">
        <f>FALSE()</f>
        <v>0</v>
      </c>
      <c r="E159" s="3" t="b">
        <f>FALSE()</f>
        <v>0</v>
      </c>
      <c r="F159" s="2" t="s">
        <v>23</v>
      </c>
      <c r="G159" s="2" t="s">
        <v>364</v>
      </c>
      <c r="H159" s="2" t="s">
        <v>23</v>
      </c>
      <c r="I159" s="2" t="s">
        <v>365</v>
      </c>
      <c r="J159" s="3" t="b">
        <f>FALSE()</f>
        <v>0</v>
      </c>
      <c r="K159" s="10">
        <v>190</v>
      </c>
      <c r="L159" s="10">
        <v>0</v>
      </c>
      <c r="M159" s="2" t="s">
        <v>542</v>
      </c>
      <c r="N159" s="2" t="s">
        <v>25</v>
      </c>
      <c r="O159" s="2" t="s">
        <v>24</v>
      </c>
      <c r="P159" s="2" t="s">
        <v>367</v>
      </c>
      <c r="Q159" s="2" t="s">
        <v>23</v>
      </c>
    </row>
    <row r="160" spans="1:17" x14ac:dyDescent="0.25">
      <c r="A160" s="2" t="s">
        <v>132</v>
      </c>
      <c r="B160" s="2" t="s">
        <v>133</v>
      </c>
      <c r="C160" s="5">
        <v>50</v>
      </c>
      <c r="D160" s="3" t="b">
        <f>FALSE()</f>
        <v>0</v>
      </c>
      <c r="E160" s="3" t="b">
        <f>FALSE()</f>
        <v>0</v>
      </c>
      <c r="F160" s="2" t="s">
        <v>23</v>
      </c>
      <c r="G160" s="2" t="s">
        <v>364</v>
      </c>
      <c r="H160" s="2" t="s">
        <v>23</v>
      </c>
      <c r="I160" s="2" t="s">
        <v>365</v>
      </c>
      <c r="J160" s="3" t="b">
        <f>FALSE()</f>
        <v>0</v>
      </c>
      <c r="K160" s="10">
        <v>9.6999999999999993</v>
      </c>
      <c r="L160" s="10">
        <v>0</v>
      </c>
      <c r="M160" s="2" t="s">
        <v>440</v>
      </c>
      <c r="N160" s="2" t="s">
        <v>25</v>
      </c>
      <c r="O160" s="2" t="s">
        <v>24</v>
      </c>
      <c r="P160" s="2" t="s">
        <v>367</v>
      </c>
      <c r="Q160" s="2" t="s">
        <v>23</v>
      </c>
    </row>
    <row r="161" spans="1:17" x14ac:dyDescent="0.25">
      <c r="A161" s="2" t="s">
        <v>134</v>
      </c>
      <c r="B161" s="2" t="s">
        <v>135</v>
      </c>
      <c r="C161" s="5">
        <v>5</v>
      </c>
      <c r="D161" s="3" t="b">
        <f>FALSE()</f>
        <v>0</v>
      </c>
      <c r="E161" s="3" t="b">
        <f>FALSE()</f>
        <v>0</v>
      </c>
      <c r="F161" s="2" t="s">
        <v>23</v>
      </c>
      <c r="G161" s="2" t="s">
        <v>364</v>
      </c>
      <c r="H161" s="2" t="s">
        <v>23</v>
      </c>
      <c r="I161" s="2" t="s">
        <v>365</v>
      </c>
      <c r="J161" s="3" t="b">
        <f>FALSE()</f>
        <v>0</v>
      </c>
      <c r="K161" s="10">
        <v>101.1</v>
      </c>
      <c r="L161" s="10">
        <v>0</v>
      </c>
      <c r="M161" s="2" t="s">
        <v>440</v>
      </c>
      <c r="N161" s="2" t="s">
        <v>25</v>
      </c>
      <c r="O161" s="2" t="s">
        <v>24</v>
      </c>
      <c r="P161" s="2" t="s">
        <v>367</v>
      </c>
      <c r="Q161" s="2" t="s">
        <v>23</v>
      </c>
    </row>
    <row r="162" spans="1:17" x14ac:dyDescent="0.25">
      <c r="A162" s="2" t="s">
        <v>136</v>
      </c>
      <c r="B162" s="2" t="s">
        <v>137</v>
      </c>
      <c r="C162" s="5">
        <v>25</v>
      </c>
      <c r="D162" s="3" t="b">
        <f>FALSE()</f>
        <v>0</v>
      </c>
      <c r="E162" s="3" t="b">
        <f>FALSE()</f>
        <v>0</v>
      </c>
      <c r="F162" s="2" t="s">
        <v>23</v>
      </c>
      <c r="G162" s="2" t="s">
        <v>364</v>
      </c>
      <c r="H162" s="2" t="s">
        <v>23</v>
      </c>
      <c r="I162" s="2" t="s">
        <v>365</v>
      </c>
      <c r="J162" s="3" t="b">
        <f>FALSE()</f>
        <v>0</v>
      </c>
      <c r="K162" s="10">
        <v>35.200000000000003</v>
      </c>
      <c r="L162" s="10">
        <v>0</v>
      </c>
      <c r="M162" s="2" t="s">
        <v>417</v>
      </c>
      <c r="N162" s="2" t="s">
        <v>25</v>
      </c>
      <c r="O162" s="2" t="s">
        <v>24</v>
      </c>
      <c r="P162" s="2" t="s">
        <v>367</v>
      </c>
      <c r="Q162" s="2" t="s">
        <v>23</v>
      </c>
    </row>
    <row r="163" spans="1:17" x14ac:dyDescent="0.25">
      <c r="A163" s="2" t="s">
        <v>138</v>
      </c>
      <c r="B163" s="2" t="s">
        <v>139</v>
      </c>
      <c r="C163" s="5">
        <v>25</v>
      </c>
      <c r="D163" s="3" t="b">
        <f>FALSE()</f>
        <v>0</v>
      </c>
      <c r="E163" s="3" t="b">
        <f>FALSE()</f>
        <v>0</v>
      </c>
      <c r="F163" s="2" t="s">
        <v>23</v>
      </c>
      <c r="G163" s="2" t="s">
        <v>364</v>
      </c>
      <c r="H163" s="2" t="s">
        <v>23</v>
      </c>
      <c r="I163" s="2" t="s">
        <v>365</v>
      </c>
      <c r="J163" s="3" t="b">
        <f>FALSE()</f>
        <v>0</v>
      </c>
      <c r="K163" s="10">
        <v>35</v>
      </c>
      <c r="L163" s="10">
        <v>0</v>
      </c>
      <c r="M163" s="2" t="s">
        <v>23</v>
      </c>
      <c r="N163" s="2" t="s">
        <v>62</v>
      </c>
      <c r="O163" s="2" t="s">
        <v>24</v>
      </c>
      <c r="P163" s="2" t="s">
        <v>367</v>
      </c>
      <c r="Q163" s="2" t="s">
        <v>23</v>
      </c>
    </row>
    <row r="164" spans="1:17" x14ac:dyDescent="0.25">
      <c r="A164" s="2" t="s">
        <v>140</v>
      </c>
      <c r="B164" s="2" t="s">
        <v>141</v>
      </c>
      <c r="C164" s="5">
        <v>25</v>
      </c>
      <c r="D164" s="3" t="b">
        <f>FALSE()</f>
        <v>0</v>
      </c>
      <c r="E164" s="3" t="b">
        <f>FALSE()</f>
        <v>0</v>
      </c>
      <c r="F164" s="2" t="s">
        <v>23</v>
      </c>
      <c r="G164" s="2" t="s">
        <v>364</v>
      </c>
      <c r="H164" s="2" t="s">
        <v>23</v>
      </c>
      <c r="I164" s="2" t="s">
        <v>365</v>
      </c>
      <c r="J164" s="3" t="b">
        <f>FALSE()</f>
        <v>0</v>
      </c>
      <c r="K164" s="10">
        <v>19.5</v>
      </c>
      <c r="L164" s="10">
        <v>0</v>
      </c>
      <c r="M164" s="2" t="s">
        <v>23</v>
      </c>
      <c r="N164" s="2" t="s">
        <v>62</v>
      </c>
      <c r="O164" s="2" t="s">
        <v>24</v>
      </c>
      <c r="P164" s="2" t="s">
        <v>367</v>
      </c>
      <c r="Q164" s="2" t="s">
        <v>23</v>
      </c>
    </row>
    <row r="165" spans="1:17" x14ac:dyDescent="0.25">
      <c r="A165" s="2" t="s">
        <v>142</v>
      </c>
      <c r="B165" s="2" t="s">
        <v>143</v>
      </c>
      <c r="C165" s="5">
        <v>50</v>
      </c>
      <c r="D165" s="3" t="b">
        <f>FALSE()</f>
        <v>0</v>
      </c>
      <c r="E165" s="3" t="b">
        <f>FALSE()</f>
        <v>0</v>
      </c>
      <c r="F165" s="2" t="s">
        <v>23</v>
      </c>
      <c r="G165" s="2" t="s">
        <v>364</v>
      </c>
      <c r="H165" s="2" t="s">
        <v>23</v>
      </c>
      <c r="I165" s="2" t="s">
        <v>365</v>
      </c>
      <c r="J165" s="3" t="b">
        <f>FALSE()</f>
        <v>0</v>
      </c>
      <c r="K165" s="10">
        <v>11.8</v>
      </c>
      <c r="L165" s="10">
        <v>0</v>
      </c>
      <c r="M165" s="2" t="s">
        <v>584</v>
      </c>
      <c r="N165" s="2" t="s">
        <v>25</v>
      </c>
      <c r="O165" s="2" t="s">
        <v>24</v>
      </c>
      <c r="P165" s="2" t="s">
        <v>367</v>
      </c>
      <c r="Q165" s="2" t="s">
        <v>23</v>
      </c>
    </row>
    <row r="166" spans="1:17" x14ac:dyDescent="0.25">
      <c r="A166" s="2" t="s">
        <v>585</v>
      </c>
      <c r="B166" s="2" t="s">
        <v>586</v>
      </c>
      <c r="C166" s="5">
        <v>16.675000000000001</v>
      </c>
      <c r="D166" s="3" t="b">
        <f>FALSE()</f>
        <v>0</v>
      </c>
      <c r="E166" s="3" t="b">
        <f>FALSE()</f>
        <v>0</v>
      </c>
      <c r="F166" s="2" t="s">
        <v>23</v>
      </c>
      <c r="G166" s="2" t="s">
        <v>364</v>
      </c>
      <c r="H166" s="2" t="s">
        <v>23</v>
      </c>
      <c r="I166" s="2" t="s">
        <v>365</v>
      </c>
      <c r="J166" s="3" t="b">
        <f>FALSE()</f>
        <v>0</v>
      </c>
      <c r="K166" s="10">
        <v>48.77</v>
      </c>
      <c r="L166" s="10">
        <v>0</v>
      </c>
      <c r="M166" s="2" t="s">
        <v>379</v>
      </c>
      <c r="N166" s="2" t="s">
        <v>25</v>
      </c>
      <c r="O166" s="2" t="s">
        <v>24</v>
      </c>
      <c r="P166" s="2" t="s">
        <v>367</v>
      </c>
      <c r="Q166" s="2" t="s">
        <v>23</v>
      </c>
    </row>
    <row r="167" spans="1:17" x14ac:dyDescent="0.25">
      <c r="A167" s="2" t="s">
        <v>587</v>
      </c>
      <c r="B167" s="2" t="s">
        <v>588</v>
      </c>
      <c r="C167" s="5">
        <v>16.2425</v>
      </c>
      <c r="D167" s="3" t="b">
        <f>FALSE()</f>
        <v>0</v>
      </c>
      <c r="E167" s="3" t="b">
        <f>FALSE()</f>
        <v>0</v>
      </c>
      <c r="F167" s="2" t="s">
        <v>23</v>
      </c>
      <c r="G167" s="2" t="s">
        <v>364</v>
      </c>
      <c r="H167" s="2" t="s">
        <v>23</v>
      </c>
      <c r="I167" s="2" t="s">
        <v>365</v>
      </c>
      <c r="J167" s="3" t="b">
        <f>FALSE()</f>
        <v>0</v>
      </c>
      <c r="K167" s="10">
        <v>0</v>
      </c>
      <c r="L167" s="10">
        <v>0</v>
      </c>
      <c r="M167" s="2" t="s">
        <v>584</v>
      </c>
      <c r="N167" s="2" t="s">
        <v>25</v>
      </c>
      <c r="O167" s="2" t="s">
        <v>24</v>
      </c>
      <c r="P167" s="2" t="s">
        <v>367</v>
      </c>
      <c r="Q167" s="2" t="s">
        <v>23</v>
      </c>
    </row>
    <row r="168" spans="1:17" x14ac:dyDescent="0.25">
      <c r="A168" s="2" t="s">
        <v>589</v>
      </c>
      <c r="B168" s="2" t="s">
        <v>590</v>
      </c>
      <c r="C168" s="5">
        <v>120</v>
      </c>
      <c r="D168" s="3" t="b">
        <f>FALSE()</f>
        <v>0</v>
      </c>
      <c r="E168" s="3" t="b">
        <f>FALSE()</f>
        <v>0</v>
      </c>
      <c r="F168" s="2" t="s">
        <v>23</v>
      </c>
      <c r="G168" s="2" t="s">
        <v>364</v>
      </c>
      <c r="H168" s="2" t="s">
        <v>23</v>
      </c>
      <c r="I168" s="2" t="s">
        <v>365</v>
      </c>
      <c r="J168" s="3" t="b">
        <f>FALSE()</f>
        <v>0</v>
      </c>
      <c r="K168" s="10">
        <v>1.0900000000000001</v>
      </c>
      <c r="L168" s="10">
        <v>0</v>
      </c>
      <c r="M168" s="2" t="s">
        <v>591</v>
      </c>
      <c r="N168" s="2" t="s">
        <v>592</v>
      </c>
      <c r="O168" s="2" t="s">
        <v>24</v>
      </c>
      <c r="P168" s="2" t="s">
        <v>367</v>
      </c>
      <c r="Q168" s="2" t="s">
        <v>23</v>
      </c>
    </row>
    <row r="169" spans="1:17" x14ac:dyDescent="0.25">
      <c r="A169" s="2" t="s">
        <v>593</v>
      </c>
      <c r="B169" s="2" t="s">
        <v>594</v>
      </c>
      <c r="C169" s="5">
        <v>183.66396</v>
      </c>
      <c r="D169" s="3" t="b">
        <f>FALSE()</f>
        <v>0</v>
      </c>
      <c r="E169" s="3" t="b">
        <f>FALSE()</f>
        <v>0</v>
      </c>
      <c r="F169" s="2" t="s">
        <v>23</v>
      </c>
      <c r="G169" s="2" t="s">
        <v>364</v>
      </c>
      <c r="H169" s="2" t="s">
        <v>23</v>
      </c>
      <c r="I169" s="2" t="s">
        <v>365</v>
      </c>
      <c r="J169" s="3" t="b">
        <f>FALSE()</f>
        <v>0</v>
      </c>
      <c r="K169" s="10">
        <v>5.8</v>
      </c>
      <c r="L169" s="10">
        <v>0</v>
      </c>
      <c r="M169" s="2" t="s">
        <v>449</v>
      </c>
      <c r="N169" s="2" t="s">
        <v>592</v>
      </c>
      <c r="O169" s="2" t="s">
        <v>24</v>
      </c>
      <c r="P169" s="2" t="s">
        <v>367</v>
      </c>
      <c r="Q169" s="2" t="s">
        <v>23</v>
      </c>
    </row>
    <row r="170" spans="1:17" x14ac:dyDescent="0.25">
      <c r="A170" s="2" t="s">
        <v>595</v>
      </c>
      <c r="B170" s="2" t="s">
        <v>596</v>
      </c>
      <c r="C170" s="5">
        <v>129.41659000000001</v>
      </c>
      <c r="D170" s="3" t="b">
        <f>FALSE()</f>
        <v>0</v>
      </c>
      <c r="E170" s="3" t="b">
        <f>FALSE()</f>
        <v>0</v>
      </c>
      <c r="F170" s="2" t="s">
        <v>23</v>
      </c>
      <c r="G170" s="2" t="s">
        <v>364</v>
      </c>
      <c r="H170" s="2" t="s">
        <v>23</v>
      </c>
      <c r="I170" s="2" t="s">
        <v>365</v>
      </c>
      <c r="J170" s="3" t="b">
        <f>FALSE()</f>
        <v>0</v>
      </c>
      <c r="K170" s="10">
        <v>29.4</v>
      </c>
      <c r="L170" s="10">
        <v>0</v>
      </c>
      <c r="M170" s="2" t="s">
        <v>449</v>
      </c>
      <c r="N170" s="2" t="s">
        <v>592</v>
      </c>
      <c r="O170" s="2" t="s">
        <v>24</v>
      </c>
      <c r="P170" s="2" t="s">
        <v>367</v>
      </c>
      <c r="Q170" s="2" t="s">
        <v>23</v>
      </c>
    </row>
    <row r="171" spans="1:17" x14ac:dyDescent="0.25">
      <c r="A171" s="2" t="s">
        <v>597</v>
      </c>
      <c r="B171" s="2" t="s">
        <v>598</v>
      </c>
      <c r="C171" s="5">
        <v>2582.6062400000001</v>
      </c>
      <c r="D171" s="3" t="b">
        <f>FALSE()</f>
        <v>0</v>
      </c>
      <c r="E171" s="3" t="b">
        <f>FALSE()</f>
        <v>0</v>
      </c>
      <c r="F171" s="2" t="s">
        <v>23</v>
      </c>
      <c r="G171" s="2" t="s">
        <v>364</v>
      </c>
      <c r="H171" s="2" t="s">
        <v>23</v>
      </c>
      <c r="I171" s="2" t="s">
        <v>365</v>
      </c>
      <c r="J171" s="3" t="b">
        <f>FALSE()</f>
        <v>0</v>
      </c>
      <c r="K171" s="10">
        <v>1.68</v>
      </c>
      <c r="L171" s="10">
        <v>0</v>
      </c>
      <c r="M171" s="2" t="s">
        <v>467</v>
      </c>
      <c r="N171" s="2" t="s">
        <v>592</v>
      </c>
      <c r="O171" s="2" t="s">
        <v>24</v>
      </c>
      <c r="P171" s="2" t="s">
        <v>367</v>
      </c>
      <c r="Q171" s="2" t="s">
        <v>23</v>
      </c>
    </row>
    <row r="172" spans="1:17" x14ac:dyDescent="0.25">
      <c r="A172" s="2" t="s">
        <v>599</v>
      </c>
      <c r="B172" s="2" t="s">
        <v>600</v>
      </c>
      <c r="C172" s="5">
        <v>0</v>
      </c>
      <c r="D172" s="3" t="b">
        <f>FALSE()</f>
        <v>0</v>
      </c>
      <c r="E172" s="3" t="b">
        <f>FALSE()</f>
        <v>0</v>
      </c>
      <c r="F172" s="2" t="s">
        <v>23</v>
      </c>
      <c r="G172" s="2" t="s">
        <v>364</v>
      </c>
      <c r="H172" s="2" t="s">
        <v>23</v>
      </c>
      <c r="I172" s="2" t="s">
        <v>365</v>
      </c>
      <c r="J172" s="3" t="b">
        <f>TRUE()</f>
        <v>1</v>
      </c>
      <c r="K172" s="10">
        <v>0</v>
      </c>
      <c r="L172" s="10">
        <v>0</v>
      </c>
      <c r="M172" s="2" t="s">
        <v>23</v>
      </c>
      <c r="N172" s="2" t="s">
        <v>55</v>
      </c>
      <c r="O172" s="2" t="s">
        <v>24</v>
      </c>
      <c r="P172" s="2" t="s">
        <v>367</v>
      </c>
      <c r="Q172" s="2" t="s">
        <v>23</v>
      </c>
    </row>
    <row r="173" spans="1:17" x14ac:dyDescent="0.25">
      <c r="A173" s="2" t="s">
        <v>601</v>
      </c>
      <c r="B173" s="2" t="s">
        <v>602</v>
      </c>
      <c r="C173" s="5">
        <v>572.32905000000005</v>
      </c>
      <c r="D173" s="3" t="b">
        <f>FALSE()</f>
        <v>0</v>
      </c>
      <c r="E173" s="3" t="b">
        <f>FALSE()</f>
        <v>0</v>
      </c>
      <c r="F173" s="2" t="s">
        <v>23</v>
      </c>
      <c r="G173" s="2" t="s">
        <v>364</v>
      </c>
      <c r="H173" s="2" t="s">
        <v>23</v>
      </c>
      <c r="I173" s="2" t="s">
        <v>365</v>
      </c>
      <c r="J173" s="3" t="b">
        <f>FALSE()</f>
        <v>0</v>
      </c>
      <c r="K173" s="10">
        <v>0</v>
      </c>
      <c r="L173" s="10">
        <v>0</v>
      </c>
      <c r="M173" s="2" t="s">
        <v>23</v>
      </c>
      <c r="N173" s="2" t="s">
        <v>55</v>
      </c>
      <c r="O173" s="2" t="s">
        <v>24</v>
      </c>
      <c r="P173" s="2" t="s">
        <v>367</v>
      </c>
      <c r="Q173" s="2" t="s">
        <v>23</v>
      </c>
    </row>
    <row r="174" spans="1:17" x14ac:dyDescent="0.25">
      <c r="A174" s="2" t="s">
        <v>315</v>
      </c>
      <c r="B174" s="2" t="s">
        <v>323</v>
      </c>
      <c r="C174" s="5">
        <v>1131.6994199999999</v>
      </c>
      <c r="D174" s="3" t="b">
        <f>TRUE()</f>
        <v>1</v>
      </c>
      <c r="E174" s="3" t="b">
        <f>FALSE()</f>
        <v>0</v>
      </c>
      <c r="F174" s="2" t="s">
        <v>23</v>
      </c>
      <c r="G174" s="2" t="s">
        <v>364</v>
      </c>
      <c r="H174" s="2" t="s">
        <v>23</v>
      </c>
      <c r="I174" s="2" t="s">
        <v>365</v>
      </c>
      <c r="J174" s="3" t="b">
        <f>FALSE()</f>
        <v>0</v>
      </c>
      <c r="K174" s="10">
        <v>1.78</v>
      </c>
      <c r="L174" s="10">
        <v>0</v>
      </c>
      <c r="M174" s="2" t="s">
        <v>439</v>
      </c>
      <c r="N174" s="2" t="s">
        <v>25</v>
      </c>
      <c r="O174" s="2" t="s">
        <v>24</v>
      </c>
      <c r="P174" s="2" t="s">
        <v>367</v>
      </c>
      <c r="Q174" s="2" t="s">
        <v>23</v>
      </c>
    </row>
    <row r="175" spans="1:17" x14ac:dyDescent="0.25">
      <c r="A175" s="2" t="s">
        <v>318</v>
      </c>
      <c r="B175" s="2" t="s">
        <v>324</v>
      </c>
      <c r="C175" s="5">
        <v>228.47880000000001</v>
      </c>
      <c r="D175" s="3" t="b">
        <f>TRUE()</f>
        <v>1</v>
      </c>
      <c r="E175" s="3" t="b">
        <f>FALSE()</f>
        <v>0</v>
      </c>
      <c r="F175" s="2" t="s">
        <v>23</v>
      </c>
      <c r="G175" s="2" t="s">
        <v>364</v>
      </c>
      <c r="H175" s="2" t="s">
        <v>23</v>
      </c>
      <c r="I175" s="2" t="s">
        <v>365</v>
      </c>
      <c r="J175" s="3" t="b">
        <f>FALSE()</f>
        <v>0</v>
      </c>
      <c r="K175" s="10">
        <v>2.96</v>
      </c>
      <c r="L175" s="10">
        <v>0</v>
      </c>
      <c r="M175" s="2" t="s">
        <v>603</v>
      </c>
      <c r="N175" s="2" t="s">
        <v>25</v>
      </c>
      <c r="O175" s="2" t="s">
        <v>24</v>
      </c>
      <c r="P175" s="2" t="s">
        <v>367</v>
      </c>
      <c r="Q175" s="2" t="s">
        <v>23</v>
      </c>
    </row>
    <row r="176" spans="1:17" x14ac:dyDescent="0.25">
      <c r="A176" s="2" t="s">
        <v>604</v>
      </c>
      <c r="B176" s="2" t="s">
        <v>605</v>
      </c>
      <c r="C176" s="5">
        <v>0</v>
      </c>
      <c r="D176" s="3" t="b">
        <f>FALSE()</f>
        <v>0</v>
      </c>
      <c r="E176" s="3" t="b">
        <f>FALSE()</f>
        <v>0</v>
      </c>
      <c r="F176" s="2" t="s">
        <v>23</v>
      </c>
      <c r="G176" s="2" t="s">
        <v>364</v>
      </c>
      <c r="H176" s="2" t="s">
        <v>23</v>
      </c>
      <c r="I176" s="2" t="s">
        <v>365</v>
      </c>
      <c r="J176" s="3" t="b">
        <f>TRUE()</f>
        <v>1</v>
      </c>
      <c r="K176" s="10">
        <v>0</v>
      </c>
      <c r="L176" s="10">
        <v>0</v>
      </c>
      <c r="M176" s="2" t="s">
        <v>23</v>
      </c>
      <c r="N176" s="2" t="s">
        <v>25</v>
      </c>
      <c r="O176" s="2" t="s">
        <v>24</v>
      </c>
      <c r="P176" s="2" t="s">
        <v>367</v>
      </c>
      <c r="Q176" s="2" t="s">
        <v>23</v>
      </c>
    </row>
    <row r="177" spans="1:17" x14ac:dyDescent="0.25">
      <c r="A177" s="2" t="s">
        <v>144</v>
      </c>
      <c r="B177" s="2" t="s">
        <v>145</v>
      </c>
      <c r="C177" s="5">
        <v>361</v>
      </c>
      <c r="D177" s="3" t="b">
        <f>TRUE()</f>
        <v>1</v>
      </c>
      <c r="E177" s="3" t="b">
        <f>FALSE()</f>
        <v>0</v>
      </c>
      <c r="F177" s="2" t="s">
        <v>23</v>
      </c>
      <c r="G177" s="2" t="s">
        <v>364</v>
      </c>
      <c r="H177" s="2" t="s">
        <v>23</v>
      </c>
      <c r="I177" s="2" t="s">
        <v>365</v>
      </c>
      <c r="J177" s="3" t="b">
        <f>FALSE()</f>
        <v>0</v>
      </c>
      <c r="K177" s="10">
        <v>0</v>
      </c>
      <c r="L177" s="10">
        <v>0</v>
      </c>
      <c r="M177" s="2" t="s">
        <v>23</v>
      </c>
      <c r="N177" s="2" t="s">
        <v>62</v>
      </c>
      <c r="O177" s="2" t="s">
        <v>24</v>
      </c>
      <c r="P177" s="2" t="s">
        <v>367</v>
      </c>
      <c r="Q177" s="2" t="s">
        <v>23</v>
      </c>
    </row>
    <row r="178" spans="1:17" x14ac:dyDescent="0.25">
      <c r="A178" s="2" t="s">
        <v>606</v>
      </c>
      <c r="B178" s="2" t="s">
        <v>607</v>
      </c>
      <c r="C178" s="5"/>
      <c r="D178" s="3" t="b">
        <f>FALSE()</f>
        <v>0</v>
      </c>
      <c r="E178" s="3" t="b">
        <f>FALSE()</f>
        <v>0</v>
      </c>
      <c r="F178" s="2" t="s">
        <v>23</v>
      </c>
      <c r="G178" s="2" t="s">
        <v>23</v>
      </c>
      <c r="H178" s="2" t="s">
        <v>23</v>
      </c>
      <c r="I178" s="2" t="s">
        <v>365</v>
      </c>
      <c r="J178" s="3" t="b">
        <f>TRUE()</f>
        <v>1</v>
      </c>
      <c r="K178" s="10">
        <v>0</v>
      </c>
      <c r="L178" s="10">
        <v>0</v>
      </c>
      <c r="M178" s="2" t="s">
        <v>23</v>
      </c>
      <c r="N178" s="2" t="s">
        <v>23</v>
      </c>
      <c r="O178" s="2" t="s">
        <v>24</v>
      </c>
      <c r="P178" s="2" t="s">
        <v>367</v>
      </c>
      <c r="Q178" s="2" t="s">
        <v>23</v>
      </c>
    </row>
    <row r="179" spans="1:17" x14ac:dyDescent="0.25">
      <c r="A179" s="2" t="s">
        <v>608</v>
      </c>
      <c r="B179" s="2" t="s">
        <v>609</v>
      </c>
      <c r="C179" s="5">
        <v>200</v>
      </c>
      <c r="D179" s="3" t="b">
        <f>FALSE()</f>
        <v>0</v>
      </c>
      <c r="E179" s="3" t="b">
        <f>FALSE()</f>
        <v>0</v>
      </c>
      <c r="F179" s="2" t="s">
        <v>23</v>
      </c>
      <c r="G179" s="2" t="s">
        <v>364</v>
      </c>
      <c r="H179" s="2" t="s">
        <v>23</v>
      </c>
      <c r="I179" s="2" t="s">
        <v>365</v>
      </c>
      <c r="J179" s="3" t="b">
        <f>FALSE()</f>
        <v>0</v>
      </c>
      <c r="K179" s="10">
        <v>25.73</v>
      </c>
      <c r="L179" s="10">
        <v>0</v>
      </c>
      <c r="M179" s="2" t="s">
        <v>381</v>
      </c>
      <c r="N179" s="2" t="s">
        <v>23</v>
      </c>
      <c r="O179" s="2" t="s">
        <v>24</v>
      </c>
      <c r="P179" s="2" t="s">
        <v>367</v>
      </c>
      <c r="Q179" s="2" t="s">
        <v>23</v>
      </c>
    </row>
    <row r="180" spans="1:17" x14ac:dyDescent="0.25">
      <c r="A180" s="2" t="s">
        <v>146</v>
      </c>
      <c r="B180" s="2" t="s">
        <v>147</v>
      </c>
      <c r="C180" s="5">
        <v>119.78</v>
      </c>
      <c r="D180" s="3" t="b">
        <f>FALSE()</f>
        <v>0</v>
      </c>
      <c r="E180" s="3" t="b">
        <f>FALSE()</f>
        <v>0</v>
      </c>
      <c r="F180" s="2" t="s">
        <v>23</v>
      </c>
      <c r="G180" s="2" t="s">
        <v>364</v>
      </c>
      <c r="H180" s="2" t="s">
        <v>23</v>
      </c>
      <c r="I180" s="2" t="s">
        <v>365</v>
      </c>
      <c r="J180" s="3" t="b">
        <f>FALSE()</f>
        <v>0</v>
      </c>
      <c r="K180" s="10">
        <v>23.5</v>
      </c>
      <c r="L180" s="10">
        <v>0</v>
      </c>
      <c r="M180" s="2" t="s">
        <v>23</v>
      </c>
      <c r="N180" s="2" t="s">
        <v>23</v>
      </c>
      <c r="O180" s="2" t="s">
        <v>24</v>
      </c>
      <c r="P180" s="2" t="s">
        <v>367</v>
      </c>
      <c r="Q180" s="2" t="s">
        <v>23</v>
      </c>
    </row>
    <row r="181" spans="1:17" x14ac:dyDescent="0.25">
      <c r="A181" s="2" t="s">
        <v>610</v>
      </c>
      <c r="B181" s="2" t="s">
        <v>611</v>
      </c>
      <c r="C181" s="5">
        <v>23.8</v>
      </c>
      <c r="D181" s="3" t="b">
        <f>FALSE()</f>
        <v>0</v>
      </c>
      <c r="E181" s="3" t="b">
        <f>FALSE()</f>
        <v>0</v>
      </c>
      <c r="F181" s="2" t="s">
        <v>23</v>
      </c>
      <c r="G181" s="2" t="s">
        <v>364</v>
      </c>
      <c r="H181" s="2" t="s">
        <v>23</v>
      </c>
      <c r="I181" s="2" t="s">
        <v>365</v>
      </c>
      <c r="J181" s="3" t="b">
        <f>FALSE()</f>
        <v>0</v>
      </c>
      <c r="K181" s="10">
        <v>19.5</v>
      </c>
      <c r="L181" s="10">
        <v>18.95</v>
      </c>
      <c r="M181" s="2" t="s">
        <v>612</v>
      </c>
      <c r="N181" s="2" t="s">
        <v>592</v>
      </c>
      <c r="O181" s="2" t="s">
        <v>24</v>
      </c>
      <c r="P181" s="2" t="s">
        <v>367</v>
      </c>
      <c r="Q181" s="2" t="s">
        <v>23</v>
      </c>
    </row>
    <row r="182" spans="1:17" x14ac:dyDescent="0.25">
      <c r="A182" s="2" t="s">
        <v>148</v>
      </c>
      <c r="B182" s="2" t="s">
        <v>149</v>
      </c>
      <c r="C182" s="5">
        <v>50</v>
      </c>
      <c r="D182" s="3" t="b">
        <f>TRUE()</f>
        <v>1</v>
      </c>
      <c r="E182" s="3" t="b">
        <f>FALSE()</f>
        <v>0</v>
      </c>
      <c r="F182" s="2" t="s">
        <v>23</v>
      </c>
      <c r="G182" s="2" t="s">
        <v>364</v>
      </c>
      <c r="H182" s="2" t="s">
        <v>23</v>
      </c>
      <c r="I182" s="2" t="s">
        <v>365</v>
      </c>
      <c r="J182" s="3" t="b">
        <f>FALSE()</f>
        <v>0</v>
      </c>
      <c r="K182" s="10">
        <v>28</v>
      </c>
      <c r="L182" s="10">
        <v>28</v>
      </c>
      <c r="M182" s="2" t="s">
        <v>23</v>
      </c>
      <c r="N182" s="2" t="s">
        <v>23</v>
      </c>
      <c r="O182" s="2" t="s">
        <v>24</v>
      </c>
      <c r="P182" s="2" t="s">
        <v>367</v>
      </c>
      <c r="Q182" s="2" t="s">
        <v>23</v>
      </c>
    </row>
    <row r="183" spans="1:17" x14ac:dyDescent="0.25">
      <c r="A183" s="2" t="s">
        <v>259</v>
      </c>
      <c r="B183" s="2" t="s">
        <v>260</v>
      </c>
      <c r="C183" s="5">
        <v>0</v>
      </c>
      <c r="D183" s="3" t="b">
        <f>TRUE()</f>
        <v>1</v>
      </c>
      <c r="E183" s="3" t="b">
        <f>FALSE()</f>
        <v>0</v>
      </c>
      <c r="F183" s="2" t="s">
        <v>23</v>
      </c>
      <c r="G183" s="2" t="s">
        <v>364</v>
      </c>
      <c r="H183" s="2" t="s">
        <v>23</v>
      </c>
      <c r="I183" s="2" t="s">
        <v>365</v>
      </c>
      <c r="J183" s="3" t="b">
        <f>TRUE()</f>
        <v>1</v>
      </c>
      <c r="K183" s="10">
        <v>0</v>
      </c>
      <c r="L183" s="10">
        <v>0</v>
      </c>
      <c r="M183" s="2" t="s">
        <v>23</v>
      </c>
      <c r="N183" s="2" t="s">
        <v>23</v>
      </c>
      <c r="O183" s="2" t="s">
        <v>24</v>
      </c>
      <c r="P183" s="2" t="s">
        <v>367</v>
      </c>
      <c r="Q183" s="2" t="s">
        <v>23</v>
      </c>
    </row>
    <row r="184" spans="1:17" x14ac:dyDescent="0.25">
      <c r="A184" s="2" t="s">
        <v>613</v>
      </c>
      <c r="B184" s="2" t="s">
        <v>614</v>
      </c>
      <c r="C184" s="5">
        <v>0</v>
      </c>
      <c r="D184" s="3" t="b">
        <f>FALSE()</f>
        <v>0</v>
      </c>
      <c r="E184" s="3" t="b">
        <f>FALSE()</f>
        <v>0</v>
      </c>
      <c r="F184" s="2" t="s">
        <v>23</v>
      </c>
      <c r="G184" s="2" t="s">
        <v>364</v>
      </c>
      <c r="H184" s="2" t="s">
        <v>23</v>
      </c>
      <c r="I184" s="2" t="s">
        <v>365</v>
      </c>
      <c r="J184" s="3" t="b">
        <f>TRUE()</f>
        <v>1</v>
      </c>
      <c r="K184" s="10">
        <v>0</v>
      </c>
      <c r="L184" s="10">
        <v>0</v>
      </c>
      <c r="M184" s="2" t="s">
        <v>23</v>
      </c>
      <c r="N184" s="2" t="s">
        <v>23</v>
      </c>
      <c r="O184" s="2" t="s">
        <v>24</v>
      </c>
      <c r="P184" s="2" t="s">
        <v>367</v>
      </c>
      <c r="Q184" s="2" t="s">
        <v>23</v>
      </c>
    </row>
    <row r="185" spans="1:17" x14ac:dyDescent="0.25">
      <c r="A185" s="2" t="s">
        <v>279</v>
      </c>
      <c r="B185" s="2" t="s">
        <v>280</v>
      </c>
      <c r="C185" s="5">
        <v>0</v>
      </c>
      <c r="D185" s="3" t="b">
        <f>TRUE()</f>
        <v>1</v>
      </c>
      <c r="E185" s="3" t="b">
        <f>FALSE()</f>
        <v>0</v>
      </c>
      <c r="F185" s="2" t="s">
        <v>23</v>
      </c>
      <c r="G185" s="2" t="s">
        <v>364</v>
      </c>
      <c r="H185" s="2" t="s">
        <v>23</v>
      </c>
      <c r="I185" s="2" t="s">
        <v>365</v>
      </c>
      <c r="J185" s="3" t="b">
        <f>TRUE()</f>
        <v>1</v>
      </c>
      <c r="K185" s="10">
        <v>0</v>
      </c>
      <c r="L185" s="10">
        <v>0</v>
      </c>
      <c r="M185" s="2" t="s">
        <v>23</v>
      </c>
      <c r="N185" s="2" t="s">
        <v>23</v>
      </c>
      <c r="O185" s="2" t="s">
        <v>24</v>
      </c>
      <c r="P185" s="2" t="s">
        <v>367</v>
      </c>
      <c r="Q185" s="2" t="s">
        <v>23</v>
      </c>
    </row>
    <row r="186" spans="1:17" x14ac:dyDescent="0.25">
      <c r="A186" s="2" t="s">
        <v>150</v>
      </c>
      <c r="B186" s="2" t="s">
        <v>151</v>
      </c>
      <c r="C186" s="5">
        <v>50</v>
      </c>
      <c r="D186" s="3" t="b">
        <f>TRUE()</f>
        <v>1</v>
      </c>
      <c r="E186" s="3" t="b">
        <f>FALSE()</f>
        <v>0</v>
      </c>
      <c r="F186" s="2" t="s">
        <v>23</v>
      </c>
      <c r="G186" s="2" t="s">
        <v>364</v>
      </c>
      <c r="H186" s="2" t="s">
        <v>23</v>
      </c>
      <c r="I186" s="2" t="s">
        <v>365</v>
      </c>
      <c r="J186" s="3" t="b">
        <f>FALSE()</f>
        <v>0</v>
      </c>
      <c r="K186" s="10">
        <v>0</v>
      </c>
      <c r="L186" s="10">
        <v>0</v>
      </c>
      <c r="M186" s="2" t="s">
        <v>23</v>
      </c>
      <c r="N186" s="2" t="s">
        <v>23</v>
      </c>
      <c r="O186" s="2" t="s">
        <v>24</v>
      </c>
      <c r="P186" s="2" t="s">
        <v>367</v>
      </c>
      <c r="Q186" s="2" t="s">
        <v>23</v>
      </c>
    </row>
    <row r="187" spans="1:17" x14ac:dyDescent="0.25">
      <c r="A187" s="2" t="s">
        <v>615</v>
      </c>
      <c r="B187" s="2" t="s">
        <v>616</v>
      </c>
      <c r="C187" s="5">
        <v>600</v>
      </c>
      <c r="D187" s="3" t="b">
        <f>FALSE()</f>
        <v>0</v>
      </c>
      <c r="E187" s="3" t="b">
        <f>FALSE()</f>
        <v>0</v>
      </c>
      <c r="F187" s="2" t="s">
        <v>23</v>
      </c>
      <c r="G187" s="2" t="s">
        <v>364</v>
      </c>
      <c r="H187" s="2" t="s">
        <v>23</v>
      </c>
      <c r="I187" s="2" t="s">
        <v>365</v>
      </c>
      <c r="J187" s="3" t="b">
        <f>FALSE()</f>
        <v>0</v>
      </c>
      <c r="K187" s="10">
        <v>0</v>
      </c>
      <c r="L187" s="10">
        <v>0</v>
      </c>
      <c r="M187" s="2" t="s">
        <v>23</v>
      </c>
      <c r="N187" s="2" t="s">
        <v>23</v>
      </c>
      <c r="O187" s="2" t="s">
        <v>24</v>
      </c>
      <c r="P187" s="2" t="s">
        <v>367</v>
      </c>
      <c r="Q187" s="2" t="s">
        <v>23</v>
      </c>
    </row>
    <row r="188" spans="1:17" x14ac:dyDescent="0.25">
      <c r="A188" s="2" t="s">
        <v>152</v>
      </c>
      <c r="B188" s="2" t="s">
        <v>153</v>
      </c>
      <c r="C188" s="5">
        <v>20</v>
      </c>
      <c r="D188" s="3" t="b">
        <f>FALSE()</f>
        <v>0</v>
      </c>
      <c r="E188" s="3" t="b">
        <f>FALSE()</f>
        <v>0</v>
      </c>
      <c r="F188" s="2" t="s">
        <v>23</v>
      </c>
      <c r="G188" s="2" t="s">
        <v>364</v>
      </c>
      <c r="H188" s="2" t="s">
        <v>23</v>
      </c>
      <c r="I188" s="2" t="s">
        <v>365</v>
      </c>
      <c r="J188" s="3" t="b">
        <f>FALSE()</f>
        <v>0</v>
      </c>
      <c r="K188" s="10">
        <v>0</v>
      </c>
      <c r="L188" s="10">
        <v>0</v>
      </c>
      <c r="M188" s="2" t="s">
        <v>23</v>
      </c>
      <c r="N188" s="2" t="s">
        <v>23</v>
      </c>
      <c r="O188" s="2" t="s">
        <v>24</v>
      </c>
      <c r="P188" s="2" t="s">
        <v>367</v>
      </c>
      <c r="Q188" s="2" t="s">
        <v>23</v>
      </c>
    </row>
    <row r="189" spans="1:17" x14ac:dyDescent="0.25">
      <c r="A189" s="2" t="s">
        <v>154</v>
      </c>
      <c r="B189" s="2" t="s">
        <v>155</v>
      </c>
      <c r="C189" s="5">
        <v>50</v>
      </c>
      <c r="D189" s="3" t="b">
        <f>FALSE()</f>
        <v>0</v>
      </c>
      <c r="E189" s="3" t="b">
        <f>FALSE()</f>
        <v>0</v>
      </c>
      <c r="F189" s="2" t="s">
        <v>23</v>
      </c>
      <c r="G189" s="2" t="s">
        <v>364</v>
      </c>
      <c r="H189" s="2" t="s">
        <v>23</v>
      </c>
      <c r="I189" s="2" t="s">
        <v>365</v>
      </c>
      <c r="J189" s="3" t="b">
        <f>FALSE()</f>
        <v>0</v>
      </c>
      <c r="K189" s="10">
        <v>0</v>
      </c>
      <c r="L189" s="10">
        <v>0</v>
      </c>
      <c r="M189" s="2" t="s">
        <v>23</v>
      </c>
      <c r="N189" s="2" t="s">
        <v>23</v>
      </c>
      <c r="O189" s="2" t="s">
        <v>24</v>
      </c>
      <c r="P189" s="2" t="s">
        <v>367</v>
      </c>
      <c r="Q189" s="2" t="s">
        <v>23</v>
      </c>
    </row>
    <row r="190" spans="1:17" x14ac:dyDescent="0.25">
      <c r="A190" s="2" t="s">
        <v>156</v>
      </c>
      <c r="B190" s="2" t="s">
        <v>157</v>
      </c>
      <c r="C190" s="5">
        <v>50</v>
      </c>
      <c r="D190" s="3" t="b">
        <f>FALSE()</f>
        <v>0</v>
      </c>
      <c r="E190" s="3" t="b">
        <f>FALSE()</f>
        <v>0</v>
      </c>
      <c r="F190" s="2" t="s">
        <v>23</v>
      </c>
      <c r="G190" s="2" t="s">
        <v>364</v>
      </c>
      <c r="H190" s="2" t="s">
        <v>23</v>
      </c>
      <c r="I190" s="2" t="s">
        <v>365</v>
      </c>
      <c r="J190" s="3" t="b">
        <f>FALSE()</f>
        <v>0</v>
      </c>
      <c r="K190" s="10">
        <v>0</v>
      </c>
      <c r="L190" s="10">
        <v>0</v>
      </c>
      <c r="M190" s="2" t="s">
        <v>23</v>
      </c>
      <c r="N190" s="2" t="s">
        <v>23</v>
      </c>
      <c r="O190" s="2" t="s">
        <v>24</v>
      </c>
      <c r="P190" s="2" t="s">
        <v>367</v>
      </c>
      <c r="Q190" s="2" t="s">
        <v>23</v>
      </c>
    </row>
    <row r="191" spans="1:17" x14ac:dyDescent="0.25">
      <c r="A191" s="2" t="s">
        <v>158</v>
      </c>
      <c r="B191" s="2" t="s">
        <v>159</v>
      </c>
      <c r="C191" s="5">
        <v>2500</v>
      </c>
      <c r="D191" s="3" t="b">
        <f>TRUE()</f>
        <v>1</v>
      </c>
      <c r="E191" s="3" t="b">
        <f>FALSE()</f>
        <v>0</v>
      </c>
      <c r="F191" s="2" t="s">
        <v>23</v>
      </c>
      <c r="G191" s="2" t="s">
        <v>364</v>
      </c>
      <c r="H191" s="2" t="s">
        <v>23</v>
      </c>
      <c r="I191" s="2" t="s">
        <v>365</v>
      </c>
      <c r="J191" s="3" t="b">
        <f>FALSE()</f>
        <v>0</v>
      </c>
      <c r="K191" s="10">
        <v>0</v>
      </c>
      <c r="L191" s="10">
        <v>0</v>
      </c>
      <c r="M191" s="2" t="s">
        <v>617</v>
      </c>
      <c r="N191" s="2" t="s">
        <v>592</v>
      </c>
      <c r="O191" s="2" t="s">
        <v>24</v>
      </c>
      <c r="P191" s="2" t="s">
        <v>367</v>
      </c>
      <c r="Q191" s="2" t="s">
        <v>23</v>
      </c>
    </row>
    <row r="192" spans="1:17" x14ac:dyDescent="0.25">
      <c r="A192" s="2" t="s">
        <v>618</v>
      </c>
      <c r="B192" s="2" t="s">
        <v>619</v>
      </c>
      <c r="C192" s="5">
        <v>0</v>
      </c>
      <c r="D192" s="3" t="b">
        <f>FALSE()</f>
        <v>0</v>
      </c>
      <c r="E192" s="3" t="b">
        <f>FALSE()</f>
        <v>0</v>
      </c>
      <c r="F192" s="2" t="s">
        <v>23</v>
      </c>
      <c r="G192" s="2" t="s">
        <v>364</v>
      </c>
      <c r="H192" s="2" t="s">
        <v>23</v>
      </c>
      <c r="I192" s="2" t="s">
        <v>365</v>
      </c>
      <c r="J192" s="3" t="b">
        <f>FALSE()</f>
        <v>0</v>
      </c>
      <c r="K192" s="10">
        <v>0</v>
      </c>
      <c r="L192" s="10">
        <v>0</v>
      </c>
      <c r="M192" s="2" t="s">
        <v>617</v>
      </c>
      <c r="N192" s="2" t="s">
        <v>23</v>
      </c>
      <c r="O192" s="2" t="s">
        <v>24</v>
      </c>
      <c r="P192" s="2" t="s">
        <v>367</v>
      </c>
      <c r="Q192" s="2" t="s">
        <v>23</v>
      </c>
    </row>
    <row r="193" spans="1:17" x14ac:dyDescent="0.25">
      <c r="A193" s="2" t="s">
        <v>160</v>
      </c>
      <c r="B193" s="2" t="s">
        <v>161</v>
      </c>
      <c r="C193" s="5">
        <v>0</v>
      </c>
      <c r="D193" s="3" t="b">
        <f>FALSE()</f>
        <v>0</v>
      </c>
      <c r="E193" s="3" t="b">
        <f>FALSE()</f>
        <v>0</v>
      </c>
      <c r="F193" s="2" t="s">
        <v>23</v>
      </c>
      <c r="G193" s="2" t="s">
        <v>364</v>
      </c>
      <c r="H193" s="2" t="s">
        <v>23</v>
      </c>
      <c r="I193" s="2" t="s">
        <v>365</v>
      </c>
      <c r="J193" s="3" t="b">
        <f>FALSE()</f>
        <v>0</v>
      </c>
      <c r="K193" s="10">
        <v>0</v>
      </c>
      <c r="L193" s="10">
        <v>0</v>
      </c>
      <c r="M193" s="2" t="s">
        <v>620</v>
      </c>
      <c r="N193" s="2" t="s">
        <v>23</v>
      </c>
      <c r="O193" s="2" t="s">
        <v>24</v>
      </c>
      <c r="P193" s="2" t="s">
        <v>367</v>
      </c>
      <c r="Q193" s="2" t="s">
        <v>23</v>
      </c>
    </row>
    <row r="194" spans="1:17" x14ac:dyDescent="0.25">
      <c r="A194" s="2" t="s">
        <v>316</v>
      </c>
      <c r="B194" s="2" t="s">
        <v>317</v>
      </c>
      <c r="C194" s="5">
        <v>0</v>
      </c>
      <c r="D194" s="3" t="b">
        <f>TRUE()</f>
        <v>1</v>
      </c>
      <c r="E194" s="3" t="b">
        <f>FALSE()</f>
        <v>0</v>
      </c>
      <c r="F194" s="2" t="s">
        <v>23</v>
      </c>
      <c r="G194" s="2" t="s">
        <v>364</v>
      </c>
      <c r="H194" s="2" t="s">
        <v>23</v>
      </c>
      <c r="I194" s="2" t="s">
        <v>365</v>
      </c>
      <c r="J194" s="3" t="b">
        <f>TRUE()</f>
        <v>1</v>
      </c>
      <c r="K194" s="10">
        <v>1.3</v>
      </c>
      <c r="L194" s="10">
        <v>0</v>
      </c>
      <c r="M194" s="2" t="s">
        <v>439</v>
      </c>
      <c r="N194" s="2" t="s">
        <v>592</v>
      </c>
      <c r="O194" s="2" t="s">
        <v>24</v>
      </c>
      <c r="P194" s="2" t="s">
        <v>367</v>
      </c>
      <c r="Q194" s="2" t="s">
        <v>23</v>
      </c>
    </row>
    <row r="195" spans="1:17" x14ac:dyDescent="0.25">
      <c r="A195" s="2" t="s">
        <v>319</v>
      </c>
      <c r="B195" s="2" t="s">
        <v>320</v>
      </c>
      <c r="C195" s="5">
        <v>0</v>
      </c>
      <c r="D195" s="3" t="b">
        <f>TRUE()</f>
        <v>1</v>
      </c>
      <c r="E195" s="3" t="b">
        <f>FALSE()</f>
        <v>0</v>
      </c>
      <c r="F195" s="2" t="s">
        <v>23</v>
      </c>
      <c r="G195" s="2" t="s">
        <v>364</v>
      </c>
      <c r="H195" s="2" t="s">
        <v>23</v>
      </c>
      <c r="I195" s="2" t="s">
        <v>365</v>
      </c>
      <c r="J195" s="3" t="b">
        <f>TRUE()</f>
        <v>1</v>
      </c>
      <c r="K195" s="10">
        <v>1.98</v>
      </c>
      <c r="L195" s="10">
        <v>0</v>
      </c>
      <c r="M195" s="2" t="s">
        <v>603</v>
      </c>
      <c r="N195" s="2" t="s">
        <v>592</v>
      </c>
      <c r="O195" s="2" t="s">
        <v>24</v>
      </c>
      <c r="P195" s="2" t="s">
        <v>367</v>
      </c>
      <c r="Q195" s="2" t="s">
        <v>23</v>
      </c>
    </row>
    <row r="196" spans="1:17" x14ac:dyDescent="0.25">
      <c r="A196" s="2" t="s">
        <v>621</v>
      </c>
      <c r="B196" s="2" t="s">
        <v>622</v>
      </c>
      <c r="C196" s="5">
        <v>260</v>
      </c>
      <c r="D196" s="3" t="b">
        <f>FALSE()</f>
        <v>0</v>
      </c>
      <c r="E196" s="3" t="b">
        <f>FALSE()</f>
        <v>0</v>
      </c>
      <c r="F196" s="2" t="s">
        <v>23</v>
      </c>
      <c r="G196" s="2" t="s">
        <v>364</v>
      </c>
      <c r="H196" s="2" t="s">
        <v>23</v>
      </c>
      <c r="I196" s="2" t="s">
        <v>365</v>
      </c>
      <c r="J196" s="3" t="b">
        <f>FALSE()</f>
        <v>0</v>
      </c>
      <c r="K196" s="10">
        <v>0.01</v>
      </c>
      <c r="L196" s="10">
        <v>0</v>
      </c>
      <c r="M196" s="2" t="s">
        <v>414</v>
      </c>
      <c r="N196" s="2" t="s">
        <v>592</v>
      </c>
      <c r="O196" s="2" t="s">
        <v>24</v>
      </c>
      <c r="P196" s="2" t="s">
        <v>367</v>
      </c>
      <c r="Q196" s="2" t="s">
        <v>23</v>
      </c>
    </row>
    <row r="197" spans="1:17" x14ac:dyDescent="0.25">
      <c r="A197" s="2" t="s">
        <v>623</v>
      </c>
      <c r="B197" s="2" t="s">
        <v>624</v>
      </c>
      <c r="C197" s="5">
        <v>50</v>
      </c>
      <c r="D197" s="3" t="b">
        <f>FALSE()</f>
        <v>0</v>
      </c>
      <c r="E197" s="3" t="b">
        <f>FALSE()</f>
        <v>0</v>
      </c>
      <c r="F197" s="2" t="s">
        <v>23</v>
      </c>
      <c r="G197" s="2" t="s">
        <v>364</v>
      </c>
      <c r="H197" s="2" t="s">
        <v>23</v>
      </c>
      <c r="I197" s="2" t="s">
        <v>365</v>
      </c>
      <c r="J197" s="3" t="b">
        <f>FALSE()</f>
        <v>0</v>
      </c>
      <c r="K197" s="10">
        <v>0.01</v>
      </c>
      <c r="L197" s="10">
        <v>0</v>
      </c>
      <c r="M197" s="2" t="s">
        <v>625</v>
      </c>
      <c r="N197" s="2" t="s">
        <v>592</v>
      </c>
      <c r="O197" s="2" t="s">
        <v>24</v>
      </c>
      <c r="P197" s="2" t="s">
        <v>367</v>
      </c>
      <c r="Q197" s="2" t="s">
        <v>23</v>
      </c>
    </row>
    <row r="198" spans="1:17" x14ac:dyDescent="0.25">
      <c r="A198" s="2" t="s">
        <v>626</v>
      </c>
      <c r="B198" s="2" t="s">
        <v>627</v>
      </c>
      <c r="C198" s="5">
        <v>20</v>
      </c>
      <c r="D198" s="3" t="b">
        <f>FALSE()</f>
        <v>0</v>
      </c>
      <c r="E198" s="3" t="b">
        <f>FALSE()</f>
        <v>0</v>
      </c>
      <c r="F198" s="2" t="s">
        <v>23</v>
      </c>
      <c r="G198" s="2" t="s">
        <v>364</v>
      </c>
      <c r="H198" s="2" t="s">
        <v>23</v>
      </c>
      <c r="I198" s="2" t="s">
        <v>365</v>
      </c>
      <c r="J198" s="3" t="b">
        <f>FALSE()</f>
        <v>0</v>
      </c>
      <c r="K198" s="10">
        <v>0.01</v>
      </c>
      <c r="L198" s="10">
        <v>0</v>
      </c>
      <c r="M198" s="2" t="s">
        <v>628</v>
      </c>
      <c r="N198" s="2" t="s">
        <v>592</v>
      </c>
      <c r="O198" s="2" t="s">
        <v>24</v>
      </c>
      <c r="P198" s="2" t="s">
        <v>367</v>
      </c>
      <c r="Q198" s="2" t="s">
        <v>23</v>
      </c>
    </row>
    <row r="199" spans="1:17" x14ac:dyDescent="0.25">
      <c r="A199" s="2" t="s">
        <v>629</v>
      </c>
      <c r="B199" s="2" t="s">
        <v>630</v>
      </c>
      <c r="C199" s="5">
        <v>0</v>
      </c>
      <c r="D199" s="3" t="b">
        <f>FALSE()</f>
        <v>0</v>
      </c>
      <c r="E199" s="3" t="b">
        <f>FALSE()</f>
        <v>0</v>
      </c>
      <c r="F199" s="2" t="s">
        <v>23</v>
      </c>
      <c r="G199" s="2" t="s">
        <v>364</v>
      </c>
      <c r="H199" s="2" t="s">
        <v>23</v>
      </c>
      <c r="I199" s="2" t="s">
        <v>365</v>
      </c>
      <c r="J199" s="3" t="b">
        <f>TRUE()</f>
        <v>1</v>
      </c>
      <c r="K199" s="10">
        <v>0</v>
      </c>
      <c r="L199" s="10">
        <v>0</v>
      </c>
      <c r="M199" s="2" t="s">
        <v>376</v>
      </c>
      <c r="N199" s="2" t="s">
        <v>385</v>
      </c>
      <c r="O199" s="2" t="s">
        <v>24</v>
      </c>
      <c r="P199" s="2" t="s">
        <v>367</v>
      </c>
      <c r="Q199" s="2" t="s">
        <v>23</v>
      </c>
    </row>
    <row r="200" spans="1:17" x14ac:dyDescent="0.25">
      <c r="A200" s="2" t="s">
        <v>631</v>
      </c>
      <c r="B200" s="2" t="s">
        <v>632</v>
      </c>
      <c r="C200" s="5">
        <v>0</v>
      </c>
      <c r="D200" s="3" t="b">
        <f>FALSE()</f>
        <v>0</v>
      </c>
      <c r="E200" s="3" t="b">
        <f>FALSE()</f>
        <v>0</v>
      </c>
      <c r="F200" s="2" t="s">
        <v>23</v>
      </c>
      <c r="G200" s="2" t="s">
        <v>364</v>
      </c>
      <c r="H200" s="2" t="s">
        <v>23</v>
      </c>
      <c r="I200" s="2" t="s">
        <v>365</v>
      </c>
      <c r="J200" s="3" t="b">
        <f>TRUE()</f>
        <v>1</v>
      </c>
      <c r="K200" s="10">
        <v>0</v>
      </c>
      <c r="L200" s="10">
        <v>0</v>
      </c>
      <c r="M200" s="2" t="s">
        <v>376</v>
      </c>
      <c r="N200" s="2" t="s">
        <v>385</v>
      </c>
      <c r="O200" s="2" t="s">
        <v>24</v>
      </c>
      <c r="P200" s="2" t="s">
        <v>367</v>
      </c>
      <c r="Q200" s="2" t="s">
        <v>23</v>
      </c>
    </row>
    <row r="201" spans="1:17" x14ac:dyDescent="0.25">
      <c r="A201" s="2" t="s">
        <v>633</v>
      </c>
      <c r="B201" s="2" t="s">
        <v>634</v>
      </c>
      <c r="C201" s="5">
        <v>0</v>
      </c>
      <c r="D201" s="3" t="b">
        <f>FALSE()</f>
        <v>0</v>
      </c>
      <c r="E201" s="3" t="b">
        <f>FALSE()</f>
        <v>0</v>
      </c>
      <c r="F201" s="2" t="s">
        <v>633</v>
      </c>
      <c r="G201" s="2" t="s">
        <v>635</v>
      </c>
      <c r="H201" s="2" t="s">
        <v>636</v>
      </c>
      <c r="I201" s="2" t="s">
        <v>365</v>
      </c>
      <c r="J201" s="3" t="b">
        <f>FALSE()</f>
        <v>0</v>
      </c>
      <c r="K201" s="10">
        <v>22.233889999999999</v>
      </c>
      <c r="L201" s="10">
        <v>0</v>
      </c>
      <c r="M201" s="2" t="s">
        <v>23</v>
      </c>
      <c r="N201" s="2" t="s">
        <v>23</v>
      </c>
      <c r="O201" s="2" t="s">
        <v>473</v>
      </c>
      <c r="P201" s="2" t="s">
        <v>367</v>
      </c>
      <c r="Q201" s="2" t="s">
        <v>23</v>
      </c>
    </row>
    <row r="202" spans="1:17" x14ac:dyDescent="0.25">
      <c r="A202" s="2" t="s">
        <v>637</v>
      </c>
      <c r="B202" s="2" t="s">
        <v>638</v>
      </c>
      <c r="C202" s="5">
        <v>0</v>
      </c>
      <c r="D202" s="3" t="b">
        <f>FALSE()</f>
        <v>0</v>
      </c>
      <c r="E202" s="3" t="b">
        <f>FALSE()</f>
        <v>0</v>
      </c>
      <c r="F202" s="2" t="s">
        <v>637</v>
      </c>
      <c r="G202" s="2" t="s">
        <v>635</v>
      </c>
      <c r="H202" s="2" t="s">
        <v>639</v>
      </c>
      <c r="I202" s="2" t="s">
        <v>487</v>
      </c>
      <c r="J202" s="3" t="b">
        <f>FALSE()</f>
        <v>0</v>
      </c>
      <c r="K202" s="10">
        <v>0.20805999999999999</v>
      </c>
      <c r="L202" s="10">
        <v>0</v>
      </c>
      <c r="M202" s="2" t="s">
        <v>23</v>
      </c>
      <c r="N202" s="2" t="s">
        <v>23</v>
      </c>
      <c r="O202" s="2" t="s">
        <v>473</v>
      </c>
      <c r="P202" s="2" t="s">
        <v>367</v>
      </c>
      <c r="Q202" s="2" t="s">
        <v>23</v>
      </c>
    </row>
    <row r="203" spans="1:17" x14ac:dyDescent="0.25">
      <c r="A203" s="2" t="s">
        <v>640</v>
      </c>
      <c r="B203" s="2" t="s">
        <v>641</v>
      </c>
      <c r="C203" s="5">
        <v>0</v>
      </c>
      <c r="D203" s="3" t="b">
        <f>FALSE()</f>
        <v>0</v>
      </c>
      <c r="E203" s="3" t="b">
        <f>FALSE()</f>
        <v>0</v>
      </c>
      <c r="F203" s="2" t="s">
        <v>640</v>
      </c>
      <c r="G203" s="2" t="s">
        <v>635</v>
      </c>
      <c r="H203" s="2" t="s">
        <v>642</v>
      </c>
      <c r="I203" s="2" t="s">
        <v>643</v>
      </c>
      <c r="J203" s="3" t="b">
        <f>TRUE()</f>
        <v>1</v>
      </c>
      <c r="K203" s="10">
        <v>1.324E-2</v>
      </c>
      <c r="L203" s="10">
        <v>0</v>
      </c>
      <c r="M203" s="2" t="s">
        <v>23</v>
      </c>
      <c r="N203" s="2" t="s">
        <v>23</v>
      </c>
      <c r="O203" s="2" t="s">
        <v>473</v>
      </c>
      <c r="P203" s="2" t="s">
        <v>367</v>
      </c>
      <c r="Q203" s="2" t="s">
        <v>23</v>
      </c>
    </row>
    <row r="204" spans="1:17" x14ac:dyDescent="0.25">
      <c r="A204" s="2" t="s">
        <v>644</v>
      </c>
      <c r="B204" s="2" t="s">
        <v>645</v>
      </c>
      <c r="C204" s="5">
        <v>0</v>
      </c>
      <c r="D204" s="3" t="b">
        <f>FALSE()</f>
        <v>0</v>
      </c>
      <c r="E204" s="3" t="b">
        <f>FALSE()</f>
        <v>0</v>
      </c>
      <c r="F204" s="2" t="s">
        <v>644</v>
      </c>
      <c r="G204" s="2" t="s">
        <v>635</v>
      </c>
      <c r="H204" s="2" t="s">
        <v>642</v>
      </c>
      <c r="I204" s="2" t="s">
        <v>643</v>
      </c>
      <c r="J204" s="3" t="b">
        <f>FALSE()</f>
        <v>0</v>
      </c>
      <c r="K204" s="10">
        <v>3.6069999999999998E-2</v>
      </c>
      <c r="L204" s="10">
        <v>0</v>
      </c>
      <c r="M204" s="2" t="s">
        <v>23</v>
      </c>
      <c r="N204" s="2" t="s">
        <v>23</v>
      </c>
      <c r="O204" s="2" t="s">
        <v>473</v>
      </c>
      <c r="P204" s="2" t="s">
        <v>367</v>
      </c>
      <c r="Q204" s="2" t="s">
        <v>23</v>
      </c>
    </row>
    <row r="205" spans="1:17" x14ac:dyDescent="0.25">
      <c r="A205" s="2" t="s">
        <v>646</v>
      </c>
      <c r="B205" s="2" t="s">
        <v>647</v>
      </c>
      <c r="C205" s="5">
        <v>0</v>
      </c>
      <c r="D205" s="3" t="b">
        <f>FALSE()</f>
        <v>0</v>
      </c>
      <c r="E205" s="3" t="b">
        <f>FALSE()</f>
        <v>0</v>
      </c>
      <c r="F205" s="2" t="s">
        <v>646</v>
      </c>
      <c r="G205" s="2" t="s">
        <v>635</v>
      </c>
      <c r="H205" s="2" t="s">
        <v>642</v>
      </c>
      <c r="I205" s="2" t="s">
        <v>643</v>
      </c>
      <c r="J205" s="3" t="b">
        <f>FALSE()</f>
        <v>0</v>
      </c>
      <c r="K205" s="10">
        <v>1.2E-2</v>
      </c>
      <c r="L205" s="10">
        <v>0</v>
      </c>
      <c r="M205" s="2" t="s">
        <v>23</v>
      </c>
      <c r="N205" s="2" t="s">
        <v>23</v>
      </c>
      <c r="O205" s="2" t="s">
        <v>473</v>
      </c>
      <c r="P205" s="2" t="s">
        <v>367</v>
      </c>
      <c r="Q205" s="2" t="s">
        <v>23</v>
      </c>
    </row>
    <row r="206" spans="1:17" x14ac:dyDescent="0.25">
      <c r="A206" s="2" t="s">
        <v>648</v>
      </c>
      <c r="B206" s="2" t="s">
        <v>649</v>
      </c>
      <c r="C206" s="5">
        <v>0</v>
      </c>
      <c r="D206" s="3" t="b">
        <f>FALSE()</f>
        <v>0</v>
      </c>
      <c r="E206" s="3" t="b">
        <f>FALSE()</f>
        <v>0</v>
      </c>
      <c r="F206" s="2" t="s">
        <v>648</v>
      </c>
      <c r="G206" s="2" t="s">
        <v>635</v>
      </c>
      <c r="H206" s="2" t="s">
        <v>642</v>
      </c>
      <c r="I206" s="2" t="s">
        <v>643</v>
      </c>
      <c r="J206" s="3" t="b">
        <f>TRUE()</f>
        <v>1</v>
      </c>
      <c r="K206" s="10">
        <v>1.6240000000000001E-2</v>
      </c>
      <c r="L206" s="10">
        <v>0</v>
      </c>
      <c r="M206" s="2" t="s">
        <v>23</v>
      </c>
      <c r="N206" s="2" t="s">
        <v>23</v>
      </c>
      <c r="O206" s="2" t="s">
        <v>473</v>
      </c>
      <c r="P206" s="2" t="s">
        <v>367</v>
      </c>
      <c r="Q206" s="2" t="s">
        <v>23</v>
      </c>
    </row>
    <row r="207" spans="1:17" x14ac:dyDescent="0.25">
      <c r="A207" s="2" t="s">
        <v>650</v>
      </c>
      <c r="B207" s="2" t="s">
        <v>651</v>
      </c>
      <c r="C207" s="5">
        <v>0</v>
      </c>
      <c r="D207" s="3" t="b">
        <f>FALSE()</f>
        <v>0</v>
      </c>
      <c r="E207" s="3" t="b">
        <f>FALSE()</f>
        <v>0</v>
      </c>
      <c r="F207" s="2" t="s">
        <v>650</v>
      </c>
      <c r="G207" s="2" t="s">
        <v>635</v>
      </c>
      <c r="H207" s="2" t="s">
        <v>642</v>
      </c>
      <c r="I207" s="2" t="s">
        <v>643</v>
      </c>
      <c r="J207" s="3" t="b">
        <f>TRUE()</f>
        <v>1</v>
      </c>
      <c r="K207" s="10">
        <v>3.603E-2</v>
      </c>
      <c r="L207" s="10">
        <v>0</v>
      </c>
      <c r="M207" s="2" t="s">
        <v>23</v>
      </c>
      <c r="N207" s="2" t="s">
        <v>23</v>
      </c>
      <c r="O207" s="2" t="s">
        <v>473</v>
      </c>
      <c r="P207" s="2" t="s">
        <v>367</v>
      </c>
      <c r="Q207" s="2" t="s">
        <v>23</v>
      </c>
    </row>
    <row r="208" spans="1:17" x14ac:dyDescent="0.25">
      <c r="A208" s="2" t="s">
        <v>652</v>
      </c>
      <c r="B208" s="2" t="s">
        <v>653</v>
      </c>
      <c r="C208" s="5">
        <v>25</v>
      </c>
      <c r="D208" s="3" t="b">
        <f>FALSE()</f>
        <v>0</v>
      </c>
      <c r="E208" s="3" t="b">
        <f>FALSE()</f>
        <v>0</v>
      </c>
      <c r="F208" s="2" t="s">
        <v>652</v>
      </c>
      <c r="G208" s="2" t="s">
        <v>635</v>
      </c>
      <c r="H208" s="2" t="s">
        <v>639</v>
      </c>
      <c r="I208" s="2" t="s">
        <v>487</v>
      </c>
      <c r="J208" s="3" t="b">
        <f>FALSE()</f>
        <v>0</v>
      </c>
      <c r="K208" s="10">
        <v>5.9200000000000003E-2</v>
      </c>
      <c r="L208" s="10">
        <v>0</v>
      </c>
      <c r="M208" s="2" t="s">
        <v>23</v>
      </c>
      <c r="N208" s="2" t="s">
        <v>23</v>
      </c>
      <c r="O208" s="2" t="s">
        <v>473</v>
      </c>
      <c r="P208" s="2" t="s">
        <v>367</v>
      </c>
      <c r="Q208" s="2" t="s">
        <v>23</v>
      </c>
    </row>
    <row r="209" spans="1:17" x14ac:dyDescent="0.25">
      <c r="A209" s="2" t="s">
        <v>654</v>
      </c>
      <c r="B209" s="2" t="s">
        <v>655</v>
      </c>
      <c r="C209" s="5">
        <v>0</v>
      </c>
      <c r="D209" s="3" t="b">
        <f>FALSE()</f>
        <v>0</v>
      </c>
      <c r="E209" s="3" t="b">
        <f>FALSE()</f>
        <v>0</v>
      </c>
      <c r="F209" s="2" t="s">
        <v>654</v>
      </c>
      <c r="G209" s="2" t="s">
        <v>635</v>
      </c>
      <c r="H209" s="2" t="s">
        <v>642</v>
      </c>
      <c r="I209" s="2" t="s">
        <v>643</v>
      </c>
      <c r="J209" s="3" t="b">
        <f>FALSE()</f>
        <v>0</v>
      </c>
      <c r="K209" s="10">
        <v>0</v>
      </c>
      <c r="L209" s="10">
        <v>0</v>
      </c>
      <c r="M209" s="2" t="s">
        <v>23</v>
      </c>
      <c r="N209" s="2" t="s">
        <v>23</v>
      </c>
      <c r="O209" s="2" t="s">
        <v>473</v>
      </c>
      <c r="P209" s="2" t="s">
        <v>367</v>
      </c>
      <c r="Q209" s="2" t="s">
        <v>23</v>
      </c>
    </row>
    <row r="210" spans="1:17" x14ac:dyDescent="0.25">
      <c r="A210" s="2" t="s">
        <v>656</v>
      </c>
      <c r="B210" s="2" t="s">
        <v>657</v>
      </c>
      <c r="C210" s="5">
        <v>0</v>
      </c>
      <c r="D210" s="3" t="b">
        <f>FALSE()</f>
        <v>0</v>
      </c>
      <c r="E210" s="3" t="b">
        <f>FALSE()</f>
        <v>0</v>
      </c>
      <c r="F210" s="2" t="s">
        <v>656</v>
      </c>
      <c r="G210" s="2" t="s">
        <v>635</v>
      </c>
      <c r="H210" s="2" t="s">
        <v>642</v>
      </c>
      <c r="I210" s="2" t="s">
        <v>643</v>
      </c>
      <c r="J210" s="3" t="b">
        <f>FALSE()</f>
        <v>0</v>
      </c>
      <c r="K210" s="10">
        <v>1.2500000000000001E-2</v>
      </c>
      <c r="L210" s="10">
        <v>0</v>
      </c>
      <c r="M210" s="2" t="s">
        <v>23</v>
      </c>
      <c r="N210" s="2" t="s">
        <v>23</v>
      </c>
      <c r="O210" s="2" t="s">
        <v>473</v>
      </c>
      <c r="P210" s="2" t="s">
        <v>367</v>
      </c>
      <c r="Q210" s="2" t="s">
        <v>23</v>
      </c>
    </row>
    <row r="211" spans="1:17" x14ac:dyDescent="0.25">
      <c r="A211" s="2" t="s">
        <v>658</v>
      </c>
      <c r="B211" s="2" t="s">
        <v>659</v>
      </c>
      <c r="C211" s="5">
        <v>0</v>
      </c>
      <c r="D211" s="3" t="b">
        <f>FALSE()</f>
        <v>0</v>
      </c>
      <c r="E211" s="3" t="b">
        <f>FALSE()</f>
        <v>0</v>
      </c>
      <c r="F211" s="2" t="s">
        <v>658</v>
      </c>
      <c r="G211" s="2" t="s">
        <v>635</v>
      </c>
      <c r="H211" s="2" t="s">
        <v>642</v>
      </c>
      <c r="I211" s="2" t="s">
        <v>643</v>
      </c>
      <c r="J211" s="3" t="b">
        <f>TRUE()</f>
        <v>1</v>
      </c>
      <c r="K211" s="10">
        <v>0</v>
      </c>
      <c r="L211" s="10">
        <v>0</v>
      </c>
      <c r="M211" s="2" t="s">
        <v>23</v>
      </c>
      <c r="N211" s="2" t="s">
        <v>23</v>
      </c>
      <c r="O211" s="2" t="s">
        <v>473</v>
      </c>
      <c r="P211" s="2" t="s">
        <v>367</v>
      </c>
      <c r="Q211" s="2" t="s">
        <v>23</v>
      </c>
    </row>
    <row r="212" spans="1:17" x14ac:dyDescent="0.25">
      <c r="A212" s="2" t="s">
        <v>660</v>
      </c>
      <c r="B212" s="2" t="s">
        <v>661</v>
      </c>
      <c r="C212" s="5">
        <v>265400</v>
      </c>
      <c r="D212" s="3" t="b">
        <f>FALSE()</f>
        <v>0</v>
      </c>
      <c r="E212" s="3" t="b">
        <f>FALSE()</f>
        <v>0</v>
      </c>
      <c r="F212" s="2" t="s">
        <v>660</v>
      </c>
      <c r="G212" s="2" t="s">
        <v>635</v>
      </c>
      <c r="H212" s="2" t="s">
        <v>642</v>
      </c>
      <c r="I212" s="2" t="s">
        <v>643</v>
      </c>
      <c r="J212" s="3" t="b">
        <f>FALSE()</f>
        <v>0</v>
      </c>
      <c r="K212" s="10">
        <v>1.7749999999999998E-2</v>
      </c>
      <c r="L212" s="10">
        <v>0</v>
      </c>
      <c r="M212" s="2" t="s">
        <v>23</v>
      </c>
      <c r="N212" s="2" t="s">
        <v>23</v>
      </c>
      <c r="O212" s="2" t="s">
        <v>473</v>
      </c>
      <c r="P212" s="2" t="s">
        <v>367</v>
      </c>
      <c r="Q212" s="2" t="s">
        <v>23</v>
      </c>
    </row>
    <row r="213" spans="1:17" x14ac:dyDescent="0.25">
      <c r="A213" s="2" t="s">
        <v>662</v>
      </c>
      <c r="B213" s="2" t="s">
        <v>663</v>
      </c>
      <c r="C213" s="5">
        <v>0</v>
      </c>
      <c r="D213" s="3" t="b">
        <f>FALSE()</f>
        <v>0</v>
      </c>
      <c r="E213" s="3" t="b">
        <f>FALSE()</f>
        <v>0</v>
      </c>
      <c r="F213" s="2" t="s">
        <v>662</v>
      </c>
      <c r="G213" s="2" t="s">
        <v>635</v>
      </c>
      <c r="H213" s="2" t="s">
        <v>642</v>
      </c>
      <c r="I213" s="2" t="s">
        <v>643</v>
      </c>
      <c r="J213" s="3" t="b">
        <f>FALSE()</f>
        <v>0</v>
      </c>
      <c r="K213" s="10">
        <v>1.132E-2</v>
      </c>
      <c r="L213" s="10">
        <v>0</v>
      </c>
      <c r="M213" s="2" t="s">
        <v>23</v>
      </c>
      <c r="N213" s="2" t="s">
        <v>23</v>
      </c>
      <c r="O213" s="2" t="s">
        <v>473</v>
      </c>
      <c r="P213" s="2" t="s">
        <v>367</v>
      </c>
      <c r="Q213" s="2" t="s">
        <v>23</v>
      </c>
    </row>
    <row r="214" spans="1:17" x14ac:dyDescent="0.25">
      <c r="A214" s="2" t="s">
        <v>664</v>
      </c>
      <c r="B214" s="2" t="s">
        <v>665</v>
      </c>
      <c r="C214" s="5">
        <v>0</v>
      </c>
      <c r="D214" s="3" t="b">
        <f>FALSE()</f>
        <v>0</v>
      </c>
      <c r="E214" s="3" t="b">
        <f>FALSE()</f>
        <v>0</v>
      </c>
      <c r="F214" s="2" t="s">
        <v>664</v>
      </c>
      <c r="G214" s="2" t="s">
        <v>635</v>
      </c>
      <c r="H214" s="2" t="s">
        <v>642</v>
      </c>
      <c r="I214" s="2" t="s">
        <v>643</v>
      </c>
      <c r="J214" s="3" t="b">
        <f>TRUE()</f>
        <v>1</v>
      </c>
      <c r="K214" s="10">
        <v>3.0949999999999998E-2</v>
      </c>
      <c r="L214" s="10">
        <v>0</v>
      </c>
      <c r="M214" s="2" t="s">
        <v>23</v>
      </c>
      <c r="N214" s="2" t="s">
        <v>23</v>
      </c>
      <c r="O214" s="2" t="s">
        <v>473</v>
      </c>
      <c r="P214" s="2" t="s">
        <v>367</v>
      </c>
      <c r="Q214" s="2" t="s">
        <v>23</v>
      </c>
    </row>
    <row r="215" spans="1:17" x14ac:dyDescent="0.25">
      <c r="A215" s="2" t="s">
        <v>666</v>
      </c>
      <c r="B215" s="2" t="s">
        <v>667</v>
      </c>
      <c r="C215" s="5">
        <v>0</v>
      </c>
      <c r="D215" s="3" t="b">
        <f>FALSE()</f>
        <v>0</v>
      </c>
      <c r="E215" s="3" t="b">
        <f>FALSE()</f>
        <v>0</v>
      </c>
      <c r="F215" s="2" t="s">
        <v>666</v>
      </c>
      <c r="G215" s="2" t="s">
        <v>635</v>
      </c>
      <c r="H215" s="2" t="s">
        <v>642</v>
      </c>
      <c r="I215" s="2" t="s">
        <v>643</v>
      </c>
      <c r="J215" s="3" t="b">
        <f>TRUE()</f>
        <v>1</v>
      </c>
      <c r="K215" s="10">
        <v>1.346E-2</v>
      </c>
      <c r="L215" s="10">
        <v>0</v>
      </c>
      <c r="M215" s="2" t="s">
        <v>23</v>
      </c>
      <c r="N215" s="2" t="s">
        <v>23</v>
      </c>
      <c r="O215" s="2" t="s">
        <v>24</v>
      </c>
      <c r="P215" s="2" t="s">
        <v>367</v>
      </c>
      <c r="Q215" s="2" t="s">
        <v>23</v>
      </c>
    </row>
    <row r="216" spans="1:17" x14ac:dyDescent="0.25">
      <c r="A216" s="2" t="s">
        <v>668</v>
      </c>
      <c r="B216" s="2" t="s">
        <v>669</v>
      </c>
      <c r="C216" s="5">
        <v>0</v>
      </c>
      <c r="D216" s="3" t="b">
        <f>FALSE()</f>
        <v>0</v>
      </c>
      <c r="E216" s="3" t="b">
        <f>FALSE()</f>
        <v>0</v>
      </c>
      <c r="F216" s="2" t="s">
        <v>668</v>
      </c>
      <c r="G216" s="2" t="s">
        <v>635</v>
      </c>
      <c r="H216" s="2" t="s">
        <v>642</v>
      </c>
      <c r="I216" s="2" t="s">
        <v>643</v>
      </c>
      <c r="J216" s="3" t="b">
        <f>FALSE()</f>
        <v>0</v>
      </c>
      <c r="K216" s="10">
        <v>1.286E-2</v>
      </c>
      <c r="L216" s="10">
        <v>0</v>
      </c>
      <c r="M216" s="2" t="s">
        <v>23</v>
      </c>
      <c r="N216" s="2" t="s">
        <v>23</v>
      </c>
      <c r="O216" s="2" t="s">
        <v>473</v>
      </c>
      <c r="P216" s="2" t="s">
        <v>367</v>
      </c>
      <c r="Q216" s="2" t="s">
        <v>23</v>
      </c>
    </row>
    <row r="217" spans="1:17" x14ac:dyDescent="0.25">
      <c r="A217" s="2" t="s">
        <v>670</v>
      </c>
      <c r="B217" s="2" t="s">
        <v>671</v>
      </c>
      <c r="C217" s="5">
        <v>0</v>
      </c>
      <c r="D217" s="3" t="b">
        <f>FALSE()</f>
        <v>0</v>
      </c>
      <c r="E217" s="3" t="b">
        <f>FALSE()</f>
        <v>0</v>
      </c>
      <c r="F217" s="2" t="s">
        <v>670</v>
      </c>
      <c r="G217" s="2" t="s">
        <v>635</v>
      </c>
      <c r="H217" s="2" t="s">
        <v>642</v>
      </c>
      <c r="I217" s="2" t="s">
        <v>643</v>
      </c>
      <c r="J217" s="3" t="b">
        <f>TRUE()</f>
        <v>1</v>
      </c>
      <c r="K217" s="10">
        <v>2.648E-2</v>
      </c>
      <c r="L217" s="10">
        <v>0</v>
      </c>
      <c r="M217" s="2" t="s">
        <v>23</v>
      </c>
      <c r="N217" s="2" t="s">
        <v>23</v>
      </c>
      <c r="O217" s="2" t="s">
        <v>473</v>
      </c>
      <c r="P217" s="2" t="s">
        <v>367</v>
      </c>
      <c r="Q217" s="2" t="s">
        <v>23</v>
      </c>
    </row>
    <row r="218" spans="1:17" x14ac:dyDescent="0.25">
      <c r="A218" s="2" t="s">
        <v>672</v>
      </c>
      <c r="B218" s="2" t="s">
        <v>673</v>
      </c>
      <c r="C218" s="5">
        <v>0</v>
      </c>
      <c r="D218" s="3" t="b">
        <f>FALSE()</f>
        <v>0</v>
      </c>
      <c r="E218" s="3" t="b">
        <f>FALSE()</f>
        <v>0</v>
      </c>
      <c r="F218" s="2" t="s">
        <v>672</v>
      </c>
      <c r="G218" s="2" t="s">
        <v>635</v>
      </c>
      <c r="H218" s="2" t="s">
        <v>642</v>
      </c>
      <c r="I218" s="2" t="s">
        <v>643</v>
      </c>
      <c r="J218" s="3" t="b">
        <f>TRUE()</f>
        <v>1</v>
      </c>
      <c r="K218" s="10">
        <v>0</v>
      </c>
      <c r="L218" s="10">
        <v>0</v>
      </c>
      <c r="M218" s="2" t="s">
        <v>23</v>
      </c>
      <c r="N218" s="2" t="s">
        <v>23</v>
      </c>
      <c r="O218" s="2" t="s">
        <v>24</v>
      </c>
      <c r="P218" s="2" t="s">
        <v>367</v>
      </c>
      <c r="Q218" s="2" t="s">
        <v>23</v>
      </c>
    </row>
    <row r="219" spans="1:17" x14ac:dyDescent="0.25">
      <c r="A219" s="2" t="s">
        <v>674</v>
      </c>
      <c r="B219" s="2" t="s">
        <v>675</v>
      </c>
      <c r="C219" s="5">
        <v>0</v>
      </c>
      <c r="D219" s="3" t="b">
        <f>FALSE()</f>
        <v>0</v>
      </c>
      <c r="E219" s="3" t="b">
        <f>FALSE()</f>
        <v>0</v>
      </c>
      <c r="F219" s="2" t="s">
        <v>674</v>
      </c>
      <c r="G219" s="2" t="s">
        <v>635</v>
      </c>
      <c r="H219" s="2" t="s">
        <v>642</v>
      </c>
      <c r="I219" s="2" t="s">
        <v>643</v>
      </c>
      <c r="J219" s="3" t="b">
        <f>TRUE()</f>
        <v>1</v>
      </c>
      <c r="K219" s="10">
        <v>0</v>
      </c>
      <c r="L219" s="10">
        <v>0</v>
      </c>
      <c r="M219" s="2" t="s">
        <v>23</v>
      </c>
      <c r="N219" s="2" t="s">
        <v>23</v>
      </c>
      <c r="O219" s="2" t="s">
        <v>473</v>
      </c>
      <c r="P219" s="2" t="s">
        <v>367</v>
      </c>
      <c r="Q219" s="2" t="s">
        <v>23</v>
      </c>
    </row>
    <row r="220" spans="1:17" x14ac:dyDescent="0.25">
      <c r="A220" s="2" t="s">
        <v>676</v>
      </c>
      <c r="B220" s="2" t="s">
        <v>677</v>
      </c>
      <c r="C220" s="5">
        <v>0</v>
      </c>
      <c r="D220" s="3" t="b">
        <f>FALSE()</f>
        <v>0</v>
      </c>
      <c r="E220" s="3" t="b">
        <f>FALSE()</f>
        <v>0</v>
      </c>
      <c r="F220" s="2" t="s">
        <v>676</v>
      </c>
      <c r="G220" s="2" t="s">
        <v>635</v>
      </c>
      <c r="H220" s="2" t="s">
        <v>642</v>
      </c>
      <c r="I220" s="2" t="s">
        <v>643</v>
      </c>
      <c r="J220" s="3" t="b">
        <f>TRUE()</f>
        <v>1</v>
      </c>
      <c r="K220" s="10">
        <v>1.341E-2</v>
      </c>
      <c r="L220" s="10">
        <v>0</v>
      </c>
      <c r="M220" s="2" t="s">
        <v>23</v>
      </c>
      <c r="N220" s="2" t="s">
        <v>23</v>
      </c>
      <c r="O220" s="2" t="s">
        <v>473</v>
      </c>
      <c r="P220" s="2" t="s">
        <v>367</v>
      </c>
      <c r="Q220" s="2" t="s">
        <v>23</v>
      </c>
    </row>
    <row r="221" spans="1:17" x14ac:dyDescent="0.25">
      <c r="A221" s="2" t="s">
        <v>678</v>
      </c>
      <c r="B221" s="2" t="s">
        <v>679</v>
      </c>
      <c r="C221" s="5">
        <v>0</v>
      </c>
      <c r="D221" s="3" t="b">
        <f>FALSE()</f>
        <v>0</v>
      </c>
      <c r="E221" s="3" t="b">
        <f>FALSE()</f>
        <v>0</v>
      </c>
      <c r="F221" s="2" t="s">
        <v>678</v>
      </c>
      <c r="G221" s="2" t="s">
        <v>635</v>
      </c>
      <c r="H221" s="2" t="s">
        <v>642</v>
      </c>
      <c r="I221" s="2" t="s">
        <v>643</v>
      </c>
      <c r="J221" s="3" t="b">
        <f>TRUE()</f>
        <v>1</v>
      </c>
      <c r="K221" s="10">
        <v>2.0619999999999999E-2</v>
      </c>
      <c r="L221" s="10">
        <v>0</v>
      </c>
      <c r="M221" s="2" t="s">
        <v>23</v>
      </c>
      <c r="N221" s="2" t="s">
        <v>23</v>
      </c>
      <c r="O221" s="2" t="s">
        <v>473</v>
      </c>
      <c r="P221" s="2" t="s">
        <v>367</v>
      </c>
      <c r="Q221" s="2" t="s">
        <v>23</v>
      </c>
    </row>
    <row r="222" spans="1:17" x14ac:dyDescent="0.25">
      <c r="A222" s="2" t="s">
        <v>680</v>
      </c>
      <c r="B222" s="2" t="s">
        <v>681</v>
      </c>
      <c r="C222" s="5">
        <v>165500</v>
      </c>
      <c r="D222" s="3" t="b">
        <f>FALSE()</f>
        <v>0</v>
      </c>
      <c r="E222" s="3" t="b">
        <f>FALSE()</f>
        <v>0</v>
      </c>
      <c r="F222" s="2" t="s">
        <v>680</v>
      </c>
      <c r="G222" s="2" t="s">
        <v>635</v>
      </c>
      <c r="H222" s="2" t="s">
        <v>642</v>
      </c>
      <c r="I222" s="2" t="s">
        <v>643</v>
      </c>
      <c r="J222" s="3" t="b">
        <f>FALSE()</f>
        <v>0</v>
      </c>
      <c r="K222" s="10">
        <v>3.3999999999999998E-3</v>
      </c>
      <c r="L222" s="10">
        <v>0</v>
      </c>
      <c r="M222" s="2" t="s">
        <v>23</v>
      </c>
      <c r="N222" s="2" t="s">
        <v>23</v>
      </c>
      <c r="O222" s="2" t="s">
        <v>473</v>
      </c>
      <c r="P222" s="2" t="s">
        <v>367</v>
      </c>
      <c r="Q222" s="2" t="s">
        <v>23</v>
      </c>
    </row>
    <row r="223" spans="1:17" x14ac:dyDescent="0.25">
      <c r="A223" s="2" t="s">
        <v>682</v>
      </c>
      <c r="B223" s="2" t="s">
        <v>683</v>
      </c>
      <c r="C223" s="5">
        <v>0</v>
      </c>
      <c r="D223" s="3" t="b">
        <f>FALSE()</f>
        <v>0</v>
      </c>
      <c r="E223" s="3" t="b">
        <f>FALSE()</f>
        <v>0</v>
      </c>
      <c r="F223" s="2" t="s">
        <v>682</v>
      </c>
      <c r="G223" s="2" t="s">
        <v>635</v>
      </c>
      <c r="H223" s="2" t="s">
        <v>636</v>
      </c>
      <c r="I223" s="2" t="s">
        <v>365</v>
      </c>
      <c r="J223" s="3" t="b">
        <f>TRUE()</f>
        <v>1</v>
      </c>
      <c r="K223" s="10">
        <v>0</v>
      </c>
      <c r="L223" s="10">
        <v>0</v>
      </c>
      <c r="M223" s="2" t="s">
        <v>23</v>
      </c>
      <c r="N223" s="2" t="s">
        <v>23</v>
      </c>
      <c r="O223" s="2" t="s">
        <v>473</v>
      </c>
      <c r="P223" s="2" t="s">
        <v>367</v>
      </c>
      <c r="Q223" s="2" t="s">
        <v>23</v>
      </c>
    </row>
    <row r="224" spans="1:17" x14ac:dyDescent="0.25">
      <c r="A224" s="2" t="s">
        <v>684</v>
      </c>
      <c r="B224" s="2" t="s">
        <v>685</v>
      </c>
      <c r="C224" s="5">
        <v>0</v>
      </c>
      <c r="D224" s="3" t="b">
        <f>FALSE()</f>
        <v>0</v>
      </c>
      <c r="E224" s="3" t="b">
        <f>FALSE()</f>
        <v>0</v>
      </c>
      <c r="F224" s="2" t="s">
        <v>684</v>
      </c>
      <c r="G224" s="2" t="s">
        <v>635</v>
      </c>
      <c r="H224" s="2" t="s">
        <v>639</v>
      </c>
      <c r="I224" s="2" t="s">
        <v>487</v>
      </c>
      <c r="J224" s="3" t="b">
        <f>FALSE()</f>
        <v>0</v>
      </c>
      <c r="K224" s="10">
        <v>0.20402000000000001</v>
      </c>
      <c r="L224" s="10">
        <v>0</v>
      </c>
      <c r="M224" s="2" t="s">
        <v>23</v>
      </c>
      <c r="N224" s="2" t="s">
        <v>23</v>
      </c>
      <c r="O224" s="2" t="s">
        <v>473</v>
      </c>
      <c r="P224" s="2" t="s">
        <v>367</v>
      </c>
      <c r="Q224" s="2" t="s">
        <v>23</v>
      </c>
    </row>
    <row r="225" spans="1:17" x14ac:dyDescent="0.25">
      <c r="A225" s="2" t="s">
        <v>686</v>
      </c>
      <c r="B225" s="2" t="s">
        <v>687</v>
      </c>
      <c r="C225" s="5">
        <v>0</v>
      </c>
      <c r="D225" s="3" t="b">
        <f>FALSE()</f>
        <v>0</v>
      </c>
      <c r="E225" s="3" t="b">
        <f>FALSE()</f>
        <v>0</v>
      </c>
      <c r="F225" s="2" t="s">
        <v>686</v>
      </c>
      <c r="G225" s="2" t="s">
        <v>635</v>
      </c>
      <c r="H225" s="2" t="s">
        <v>639</v>
      </c>
      <c r="I225" s="2" t="s">
        <v>487</v>
      </c>
      <c r="J225" s="3" t="b">
        <f>FALSE()</f>
        <v>0</v>
      </c>
      <c r="K225" s="10">
        <v>0.43110999999999999</v>
      </c>
      <c r="L225" s="10">
        <v>0</v>
      </c>
      <c r="M225" s="2" t="s">
        <v>23</v>
      </c>
      <c r="N225" s="2" t="s">
        <v>23</v>
      </c>
      <c r="O225" s="2" t="s">
        <v>473</v>
      </c>
      <c r="P225" s="2" t="s">
        <v>367</v>
      </c>
      <c r="Q225" s="2" t="s">
        <v>23</v>
      </c>
    </row>
    <row r="226" spans="1:17" x14ac:dyDescent="0.25">
      <c r="A226" s="2" t="s">
        <v>688</v>
      </c>
      <c r="B226" s="2" t="s">
        <v>689</v>
      </c>
      <c r="C226" s="5">
        <v>0</v>
      </c>
      <c r="D226" s="3" t="b">
        <f>FALSE()</f>
        <v>0</v>
      </c>
      <c r="E226" s="3" t="b">
        <f>FALSE()</f>
        <v>0</v>
      </c>
      <c r="F226" s="2" t="s">
        <v>688</v>
      </c>
      <c r="G226" s="2" t="s">
        <v>635</v>
      </c>
      <c r="H226" s="2" t="s">
        <v>642</v>
      </c>
      <c r="I226" s="2" t="s">
        <v>643</v>
      </c>
      <c r="J226" s="3" t="b">
        <f>FALSE()</f>
        <v>0</v>
      </c>
      <c r="K226" s="10">
        <v>0</v>
      </c>
      <c r="L226" s="10">
        <v>0</v>
      </c>
      <c r="M226" s="2" t="s">
        <v>23</v>
      </c>
      <c r="N226" s="2" t="s">
        <v>23</v>
      </c>
      <c r="O226" s="2" t="s">
        <v>473</v>
      </c>
      <c r="P226" s="2" t="s">
        <v>367</v>
      </c>
      <c r="Q226" s="2" t="s">
        <v>23</v>
      </c>
    </row>
    <row r="227" spans="1:17" x14ac:dyDescent="0.25">
      <c r="A227" s="2" t="s">
        <v>690</v>
      </c>
      <c r="B227" s="2" t="s">
        <v>691</v>
      </c>
      <c r="C227" s="5">
        <v>0</v>
      </c>
      <c r="D227" s="3" t="b">
        <f>FALSE()</f>
        <v>0</v>
      </c>
      <c r="E227" s="3" t="b">
        <f>FALSE()</f>
        <v>0</v>
      </c>
      <c r="F227" s="2" t="s">
        <v>690</v>
      </c>
      <c r="G227" s="2" t="s">
        <v>635</v>
      </c>
      <c r="H227" s="2" t="s">
        <v>642</v>
      </c>
      <c r="I227" s="2" t="s">
        <v>643</v>
      </c>
      <c r="J227" s="3" t="b">
        <f>TRUE()</f>
        <v>1</v>
      </c>
      <c r="K227" s="10">
        <v>0</v>
      </c>
      <c r="L227" s="10">
        <v>0</v>
      </c>
      <c r="M227" s="2" t="s">
        <v>23</v>
      </c>
      <c r="N227" s="2" t="s">
        <v>23</v>
      </c>
      <c r="O227" s="2" t="s">
        <v>473</v>
      </c>
      <c r="P227" s="2" t="s">
        <v>367</v>
      </c>
      <c r="Q227" s="2" t="s">
        <v>23</v>
      </c>
    </row>
    <row r="228" spans="1:17" x14ac:dyDescent="0.25">
      <c r="A228" s="2" t="s">
        <v>692</v>
      </c>
      <c r="B228" s="2" t="s">
        <v>693</v>
      </c>
      <c r="C228" s="5">
        <v>0</v>
      </c>
      <c r="D228" s="3" t="b">
        <f>FALSE()</f>
        <v>0</v>
      </c>
      <c r="E228" s="3" t="b">
        <f>FALSE()</f>
        <v>0</v>
      </c>
      <c r="F228" s="2" t="s">
        <v>692</v>
      </c>
      <c r="G228" s="2" t="s">
        <v>635</v>
      </c>
      <c r="H228" s="2" t="s">
        <v>642</v>
      </c>
      <c r="I228" s="2" t="s">
        <v>643</v>
      </c>
      <c r="J228" s="3" t="b">
        <f>FALSE()</f>
        <v>0</v>
      </c>
      <c r="K228" s="10">
        <v>0</v>
      </c>
      <c r="L228" s="10">
        <v>0</v>
      </c>
      <c r="M228" s="2" t="s">
        <v>23</v>
      </c>
      <c r="N228" s="2" t="s">
        <v>23</v>
      </c>
      <c r="O228" s="2" t="s">
        <v>473</v>
      </c>
      <c r="P228" s="2" t="s">
        <v>367</v>
      </c>
      <c r="Q228" s="2" t="s">
        <v>23</v>
      </c>
    </row>
    <row r="229" spans="1:17" x14ac:dyDescent="0.25">
      <c r="A229" s="2" t="s">
        <v>694</v>
      </c>
      <c r="B229" s="2" t="s">
        <v>695</v>
      </c>
      <c r="C229" s="5">
        <v>0</v>
      </c>
      <c r="D229" s="3" t="b">
        <f>FALSE()</f>
        <v>0</v>
      </c>
      <c r="E229" s="3" t="b">
        <f>FALSE()</f>
        <v>0</v>
      </c>
      <c r="F229" s="2" t="s">
        <v>694</v>
      </c>
      <c r="G229" s="2" t="s">
        <v>635</v>
      </c>
      <c r="H229" s="2" t="s">
        <v>642</v>
      </c>
      <c r="I229" s="2" t="s">
        <v>643</v>
      </c>
      <c r="J229" s="3" t="b">
        <f>FALSE()</f>
        <v>0</v>
      </c>
      <c r="K229" s="10">
        <v>0</v>
      </c>
      <c r="L229" s="10">
        <v>0</v>
      </c>
      <c r="M229" s="2" t="s">
        <v>23</v>
      </c>
      <c r="N229" s="2" t="s">
        <v>23</v>
      </c>
      <c r="O229" s="2" t="s">
        <v>473</v>
      </c>
      <c r="P229" s="2" t="s">
        <v>367</v>
      </c>
      <c r="Q229" s="2" t="s">
        <v>23</v>
      </c>
    </row>
    <row r="230" spans="1:17" x14ac:dyDescent="0.25">
      <c r="A230" s="2" t="s">
        <v>696</v>
      </c>
      <c r="B230" s="2" t="s">
        <v>697</v>
      </c>
      <c r="C230" s="5">
        <v>0</v>
      </c>
      <c r="D230" s="3" t="b">
        <f>FALSE()</f>
        <v>0</v>
      </c>
      <c r="E230" s="3" t="b">
        <f>FALSE()</f>
        <v>0</v>
      </c>
      <c r="F230" s="2" t="s">
        <v>696</v>
      </c>
      <c r="G230" s="2" t="s">
        <v>635</v>
      </c>
      <c r="H230" s="2" t="s">
        <v>642</v>
      </c>
      <c r="I230" s="2" t="s">
        <v>643</v>
      </c>
      <c r="J230" s="3" t="b">
        <f>TRUE()</f>
        <v>1</v>
      </c>
      <c r="K230" s="10">
        <v>0</v>
      </c>
      <c r="L230" s="10">
        <v>0</v>
      </c>
      <c r="M230" s="2" t="s">
        <v>23</v>
      </c>
      <c r="N230" s="2" t="s">
        <v>23</v>
      </c>
      <c r="O230" s="2" t="s">
        <v>473</v>
      </c>
      <c r="P230" s="2" t="s">
        <v>367</v>
      </c>
      <c r="Q230" s="2" t="s">
        <v>23</v>
      </c>
    </row>
    <row r="231" spans="1:17" x14ac:dyDescent="0.25">
      <c r="A231" s="2" t="s">
        <v>698</v>
      </c>
      <c r="B231" s="2" t="s">
        <v>699</v>
      </c>
      <c r="C231" s="5">
        <v>454900</v>
      </c>
      <c r="D231" s="3" t="b">
        <f>FALSE()</f>
        <v>0</v>
      </c>
      <c r="E231" s="3" t="b">
        <f>FALSE()</f>
        <v>0</v>
      </c>
      <c r="F231" s="2" t="s">
        <v>698</v>
      </c>
      <c r="G231" s="2" t="s">
        <v>635</v>
      </c>
      <c r="H231" s="2" t="s">
        <v>642</v>
      </c>
      <c r="I231" s="2" t="s">
        <v>643</v>
      </c>
      <c r="J231" s="3" t="b">
        <f>FALSE()</f>
        <v>0</v>
      </c>
      <c r="K231" s="10">
        <v>0</v>
      </c>
      <c r="L231" s="10">
        <v>0</v>
      </c>
      <c r="M231" s="2" t="s">
        <v>23</v>
      </c>
      <c r="N231" s="2" t="s">
        <v>23</v>
      </c>
      <c r="O231" s="2" t="s">
        <v>473</v>
      </c>
      <c r="P231" s="2" t="s">
        <v>367</v>
      </c>
      <c r="Q231" s="2" t="s">
        <v>23</v>
      </c>
    </row>
    <row r="232" spans="1:17" x14ac:dyDescent="0.25">
      <c r="A232" s="2" t="s">
        <v>700</v>
      </c>
      <c r="B232" s="2" t="s">
        <v>701</v>
      </c>
      <c r="C232" s="5">
        <v>0</v>
      </c>
      <c r="D232" s="3" t="b">
        <f>FALSE()</f>
        <v>0</v>
      </c>
      <c r="E232" s="3" t="b">
        <f>FALSE()</f>
        <v>0</v>
      </c>
      <c r="F232" s="2" t="s">
        <v>700</v>
      </c>
      <c r="G232" s="2" t="s">
        <v>635</v>
      </c>
      <c r="H232" s="2" t="s">
        <v>639</v>
      </c>
      <c r="I232" s="2" t="s">
        <v>487</v>
      </c>
      <c r="J232" s="3" t="b">
        <f>FALSE()</f>
        <v>0</v>
      </c>
      <c r="K232" s="10">
        <v>0</v>
      </c>
      <c r="L232" s="10">
        <v>0</v>
      </c>
      <c r="M232" s="2" t="s">
        <v>23</v>
      </c>
      <c r="N232" s="2" t="s">
        <v>23</v>
      </c>
      <c r="O232" s="2" t="s">
        <v>473</v>
      </c>
      <c r="P232" s="2" t="s">
        <v>367</v>
      </c>
      <c r="Q232" s="2" t="s">
        <v>23</v>
      </c>
    </row>
    <row r="233" spans="1:17" x14ac:dyDescent="0.25">
      <c r="A233" s="2" t="s">
        <v>702</v>
      </c>
      <c r="B233" s="2" t="s">
        <v>703</v>
      </c>
      <c r="C233" s="5">
        <v>172440</v>
      </c>
      <c r="D233" s="3" t="b">
        <f>FALSE()</f>
        <v>0</v>
      </c>
      <c r="E233" s="3" t="b">
        <f>FALSE()</f>
        <v>0</v>
      </c>
      <c r="F233" s="2" t="s">
        <v>702</v>
      </c>
      <c r="G233" s="2" t="s">
        <v>635</v>
      </c>
      <c r="H233" s="2" t="s">
        <v>639</v>
      </c>
      <c r="I233" s="2" t="s">
        <v>487</v>
      </c>
      <c r="J233" s="3" t="b">
        <f>FALSE()</f>
        <v>0</v>
      </c>
      <c r="K233" s="10">
        <v>0</v>
      </c>
      <c r="L233" s="10">
        <v>0</v>
      </c>
      <c r="M233" s="2" t="s">
        <v>23</v>
      </c>
      <c r="N233" s="2" t="s">
        <v>23</v>
      </c>
      <c r="O233" s="2" t="s">
        <v>473</v>
      </c>
      <c r="P233" s="2" t="s">
        <v>367</v>
      </c>
      <c r="Q233" s="2" t="s">
        <v>23</v>
      </c>
    </row>
    <row r="234" spans="1:17" x14ac:dyDescent="0.25">
      <c r="A234" s="2" t="s">
        <v>704</v>
      </c>
      <c r="B234" s="2" t="s">
        <v>705</v>
      </c>
      <c r="C234" s="5">
        <v>0</v>
      </c>
      <c r="D234" s="3" t="b">
        <f>FALSE()</f>
        <v>0</v>
      </c>
      <c r="E234" s="3" t="b">
        <f>FALSE()</f>
        <v>0</v>
      </c>
      <c r="F234" s="2" t="s">
        <v>704</v>
      </c>
      <c r="G234" s="2" t="s">
        <v>635</v>
      </c>
      <c r="H234" s="2" t="s">
        <v>642</v>
      </c>
      <c r="I234" s="2" t="s">
        <v>643</v>
      </c>
      <c r="J234" s="3" t="b">
        <f>TRUE()</f>
        <v>1</v>
      </c>
      <c r="K234" s="10">
        <v>0</v>
      </c>
      <c r="L234" s="10">
        <v>0</v>
      </c>
      <c r="M234" s="2" t="s">
        <v>23</v>
      </c>
      <c r="N234" s="2" t="s">
        <v>23</v>
      </c>
      <c r="O234" s="2" t="s">
        <v>473</v>
      </c>
      <c r="P234" s="2" t="s">
        <v>367</v>
      </c>
      <c r="Q234" s="2" t="s">
        <v>23</v>
      </c>
    </row>
    <row r="235" spans="1:17" x14ac:dyDescent="0.25">
      <c r="A235" s="2" t="s">
        <v>706</v>
      </c>
      <c r="B235" s="2" t="s">
        <v>707</v>
      </c>
      <c r="C235" s="5">
        <v>0</v>
      </c>
      <c r="D235" s="3" t="b">
        <f>FALSE()</f>
        <v>0</v>
      </c>
      <c r="E235" s="3" t="b">
        <f>FALSE()</f>
        <v>0</v>
      </c>
      <c r="F235" s="2" t="s">
        <v>706</v>
      </c>
      <c r="G235" s="2" t="s">
        <v>635</v>
      </c>
      <c r="H235" s="2" t="s">
        <v>642</v>
      </c>
      <c r="I235" s="2" t="s">
        <v>643</v>
      </c>
      <c r="J235" s="3" t="b">
        <f>FALSE()</f>
        <v>0</v>
      </c>
      <c r="K235" s="10">
        <v>0</v>
      </c>
      <c r="L235" s="10">
        <v>0</v>
      </c>
      <c r="M235" s="2" t="s">
        <v>23</v>
      </c>
      <c r="N235" s="2" t="s">
        <v>23</v>
      </c>
      <c r="O235" s="2" t="s">
        <v>473</v>
      </c>
      <c r="P235" s="2" t="s">
        <v>367</v>
      </c>
      <c r="Q235" s="2" t="s">
        <v>23</v>
      </c>
    </row>
    <row r="236" spans="1:17" x14ac:dyDescent="0.25">
      <c r="A236" s="2" t="s">
        <v>708</v>
      </c>
      <c r="B236" s="2" t="s">
        <v>709</v>
      </c>
      <c r="C236" s="5">
        <v>0</v>
      </c>
      <c r="D236" s="3" t="b">
        <f>FALSE()</f>
        <v>0</v>
      </c>
      <c r="E236" s="3" t="b">
        <f>FALSE()</f>
        <v>0</v>
      </c>
      <c r="F236" s="2" t="s">
        <v>708</v>
      </c>
      <c r="G236" s="2" t="s">
        <v>635</v>
      </c>
      <c r="H236" s="2" t="s">
        <v>642</v>
      </c>
      <c r="I236" s="2" t="s">
        <v>643</v>
      </c>
      <c r="J236" s="3" t="b">
        <f>TRUE()</f>
        <v>1</v>
      </c>
      <c r="K236" s="10">
        <v>0</v>
      </c>
      <c r="L236" s="10">
        <v>0</v>
      </c>
      <c r="M236" s="2" t="s">
        <v>23</v>
      </c>
      <c r="N236" s="2" t="s">
        <v>23</v>
      </c>
      <c r="O236" s="2" t="s">
        <v>473</v>
      </c>
      <c r="P236" s="2" t="s">
        <v>367</v>
      </c>
      <c r="Q236" s="2" t="s">
        <v>23</v>
      </c>
    </row>
    <row r="237" spans="1:17" x14ac:dyDescent="0.25">
      <c r="A237" s="2" t="s">
        <v>710</v>
      </c>
      <c r="B237" s="2" t="s">
        <v>711</v>
      </c>
      <c r="C237" s="5">
        <v>2957949</v>
      </c>
      <c r="D237" s="3" t="b">
        <f>FALSE()</f>
        <v>0</v>
      </c>
      <c r="E237" s="3" t="b">
        <f>FALSE()</f>
        <v>0</v>
      </c>
      <c r="F237" s="2" t="s">
        <v>710</v>
      </c>
      <c r="G237" s="2" t="s">
        <v>635</v>
      </c>
      <c r="H237" s="2" t="s">
        <v>642</v>
      </c>
      <c r="I237" s="2" t="s">
        <v>643</v>
      </c>
      <c r="J237" s="3" t="b">
        <f>FALSE()</f>
        <v>0</v>
      </c>
      <c r="K237" s="10">
        <v>0</v>
      </c>
      <c r="L237" s="10">
        <v>0</v>
      </c>
      <c r="M237" s="2" t="s">
        <v>419</v>
      </c>
      <c r="N237" s="2" t="s">
        <v>23</v>
      </c>
      <c r="O237" s="2" t="s">
        <v>473</v>
      </c>
      <c r="P237" s="2" t="s">
        <v>367</v>
      </c>
      <c r="Q237" s="2" t="s">
        <v>23</v>
      </c>
    </row>
    <row r="238" spans="1:17" x14ac:dyDescent="0.25">
      <c r="A238" s="2" t="s">
        <v>712</v>
      </c>
      <c r="B238" s="2" t="s">
        <v>713</v>
      </c>
      <c r="C238" s="5">
        <v>0</v>
      </c>
      <c r="D238" s="3" t="b">
        <f>FALSE()</f>
        <v>0</v>
      </c>
      <c r="E238" s="3" t="b">
        <f>FALSE()</f>
        <v>0</v>
      </c>
      <c r="F238" s="2" t="s">
        <v>712</v>
      </c>
      <c r="G238" s="2" t="s">
        <v>635</v>
      </c>
      <c r="H238" s="2" t="s">
        <v>642</v>
      </c>
      <c r="I238" s="2" t="s">
        <v>643</v>
      </c>
      <c r="J238" s="3" t="b">
        <f>FALSE()</f>
        <v>0</v>
      </c>
      <c r="K238" s="10">
        <v>0</v>
      </c>
      <c r="L238" s="10">
        <v>0</v>
      </c>
      <c r="M238" s="2" t="s">
        <v>419</v>
      </c>
      <c r="N238" s="2" t="s">
        <v>23</v>
      </c>
      <c r="O238" s="2" t="s">
        <v>473</v>
      </c>
      <c r="P238" s="2" t="s">
        <v>367</v>
      </c>
      <c r="Q238" s="2" t="s">
        <v>23</v>
      </c>
    </row>
    <row r="239" spans="1:17" x14ac:dyDescent="0.25">
      <c r="A239" s="2" t="s">
        <v>714</v>
      </c>
      <c r="B239" s="2" t="s">
        <v>715</v>
      </c>
      <c r="C239" s="5">
        <v>0</v>
      </c>
      <c r="D239" s="3" t="b">
        <f>FALSE()</f>
        <v>0</v>
      </c>
      <c r="E239" s="3" t="b">
        <f>FALSE()</f>
        <v>0</v>
      </c>
      <c r="F239" s="2" t="s">
        <v>714</v>
      </c>
      <c r="G239" s="2" t="s">
        <v>635</v>
      </c>
      <c r="H239" s="2" t="s">
        <v>642</v>
      </c>
      <c r="I239" s="2" t="s">
        <v>643</v>
      </c>
      <c r="J239" s="3" t="b">
        <f>TRUE()</f>
        <v>1</v>
      </c>
      <c r="K239" s="10">
        <v>0</v>
      </c>
      <c r="L239" s="10">
        <v>0</v>
      </c>
      <c r="M239" s="2" t="s">
        <v>419</v>
      </c>
      <c r="N239" s="2" t="s">
        <v>23</v>
      </c>
      <c r="O239" s="2" t="s">
        <v>473</v>
      </c>
      <c r="P239" s="2" t="s">
        <v>367</v>
      </c>
      <c r="Q239" s="2" t="s">
        <v>23</v>
      </c>
    </row>
    <row r="240" spans="1:17" x14ac:dyDescent="0.25">
      <c r="A240" s="2" t="s">
        <v>716</v>
      </c>
      <c r="B240" s="2" t="s">
        <v>717</v>
      </c>
      <c r="C240" s="5">
        <v>0</v>
      </c>
      <c r="D240" s="3" t="b">
        <f>FALSE()</f>
        <v>0</v>
      </c>
      <c r="E240" s="3" t="b">
        <f>FALSE()</f>
        <v>0</v>
      </c>
      <c r="F240" s="2" t="s">
        <v>716</v>
      </c>
      <c r="G240" s="2" t="s">
        <v>635</v>
      </c>
      <c r="H240" s="2" t="s">
        <v>642</v>
      </c>
      <c r="I240" s="2" t="s">
        <v>643</v>
      </c>
      <c r="J240" s="3" t="b">
        <f>TRUE()</f>
        <v>1</v>
      </c>
      <c r="K240" s="10">
        <v>0</v>
      </c>
      <c r="L240" s="10">
        <v>0</v>
      </c>
      <c r="M240" s="2" t="s">
        <v>419</v>
      </c>
      <c r="N240" s="2" t="s">
        <v>23</v>
      </c>
      <c r="O240" s="2" t="s">
        <v>473</v>
      </c>
      <c r="P240" s="2" t="s">
        <v>367</v>
      </c>
      <c r="Q240" s="2" t="s">
        <v>23</v>
      </c>
    </row>
    <row r="241" spans="1:17" x14ac:dyDescent="0.25">
      <c r="A241" s="2" t="s">
        <v>162</v>
      </c>
      <c r="B241" s="2" t="s">
        <v>163</v>
      </c>
      <c r="C241" s="5">
        <v>27.909859999999998</v>
      </c>
      <c r="D241" s="3" t="b">
        <f>FALSE()</f>
        <v>0</v>
      </c>
      <c r="E241" s="3" t="b">
        <f>FALSE()</f>
        <v>0</v>
      </c>
      <c r="F241" s="2" t="s">
        <v>23</v>
      </c>
      <c r="G241" s="2" t="s">
        <v>364</v>
      </c>
      <c r="H241" s="2" t="s">
        <v>23</v>
      </c>
      <c r="I241" s="2" t="s">
        <v>365</v>
      </c>
      <c r="J241" s="3" t="b">
        <f>FALSE()</f>
        <v>0</v>
      </c>
      <c r="K241" s="10">
        <v>22</v>
      </c>
      <c r="L241" s="10">
        <v>0</v>
      </c>
      <c r="M241" s="2" t="s">
        <v>23</v>
      </c>
      <c r="N241" s="2" t="s">
        <v>164</v>
      </c>
      <c r="O241" s="2" t="s">
        <v>24</v>
      </c>
      <c r="P241" s="2" t="s">
        <v>367</v>
      </c>
      <c r="Q241" s="2" t="s">
        <v>23</v>
      </c>
    </row>
    <row r="242" spans="1:17" x14ac:dyDescent="0.25">
      <c r="A242" s="2" t="s">
        <v>165</v>
      </c>
      <c r="B242" s="2" t="s">
        <v>166</v>
      </c>
      <c r="C242" s="5">
        <v>18.28989</v>
      </c>
      <c r="D242" s="3" t="b">
        <f>FALSE()</f>
        <v>0</v>
      </c>
      <c r="E242" s="3" t="b">
        <f>FALSE()</f>
        <v>0</v>
      </c>
      <c r="F242" s="2" t="s">
        <v>23</v>
      </c>
      <c r="G242" s="2" t="s">
        <v>364</v>
      </c>
      <c r="H242" s="2" t="s">
        <v>23</v>
      </c>
      <c r="I242" s="2" t="s">
        <v>365</v>
      </c>
      <c r="J242" s="3" t="b">
        <f>FALSE()</f>
        <v>0</v>
      </c>
      <c r="K242" s="10">
        <v>16.5</v>
      </c>
      <c r="L242" s="10">
        <v>0</v>
      </c>
      <c r="M242" s="2" t="s">
        <v>23</v>
      </c>
      <c r="N242" s="2" t="s">
        <v>164</v>
      </c>
      <c r="O242" s="2" t="s">
        <v>24</v>
      </c>
      <c r="P242" s="2" t="s">
        <v>367</v>
      </c>
      <c r="Q242" s="2" t="s">
        <v>23</v>
      </c>
    </row>
    <row r="243" spans="1:17" x14ac:dyDescent="0.25">
      <c r="A243" s="2" t="s">
        <v>167</v>
      </c>
      <c r="B243" s="2" t="s">
        <v>168</v>
      </c>
      <c r="C243" s="5">
        <v>10</v>
      </c>
      <c r="D243" s="3" t="b">
        <f>FALSE()</f>
        <v>0</v>
      </c>
      <c r="E243" s="3" t="b">
        <f>FALSE()</f>
        <v>0</v>
      </c>
      <c r="F243" s="2" t="s">
        <v>23</v>
      </c>
      <c r="G243" s="2" t="s">
        <v>364</v>
      </c>
      <c r="H243" s="2" t="s">
        <v>23</v>
      </c>
      <c r="I243" s="2" t="s">
        <v>365</v>
      </c>
      <c r="J243" s="3" t="b">
        <f>FALSE()</f>
        <v>0</v>
      </c>
      <c r="K243" s="10">
        <v>15</v>
      </c>
      <c r="L243" s="10">
        <v>0</v>
      </c>
      <c r="M243" s="2" t="s">
        <v>23</v>
      </c>
      <c r="N243" s="2" t="s">
        <v>164</v>
      </c>
      <c r="O243" s="2" t="s">
        <v>24</v>
      </c>
      <c r="P243" s="2" t="s">
        <v>367</v>
      </c>
      <c r="Q243" s="2" t="s">
        <v>23</v>
      </c>
    </row>
    <row r="244" spans="1:17" x14ac:dyDescent="0.25">
      <c r="A244" s="2" t="s">
        <v>169</v>
      </c>
      <c r="B244" s="2" t="s">
        <v>170</v>
      </c>
      <c r="C244" s="5">
        <v>10</v>
      </c>
      <c r="D244" s="3" t="b">
        <f>FALSE()</f>
        <v>0</v>
      </c>
      <c r="E244" s="3" t="b">
        <f>FALSE()</f>
        <v>0</v>
      </c>
      <c r="F244" s="2" t="s">
        <v>23</v>
      </c>
      <c r="G244" s="2" t="s">
        <v>364</v>
      </c>
      <c r="H244" s="2" t="s">
        <v>23</v>
      </c>
      <c r="I244" s="2" t="s">
        <v>365</v>
      </c>
      <c r="J244" s="3" t="b">
        <f>FALSE()</f>
        <v>0</v>
      </c>
      <c r="K244" s="10">
        <v>15.5</v>
      </c>
      <c r="L244" s="10">
        <v>0</v>
      </c>
      <c r="M244" s="2" t="s">
        <v>23</v>
      </c>
      <c r="N244" s="2" t="s">
        <v>164</v>
      </c>
      <c r="O244" s="2" t="s">
        <v>24</v>
      </c>
      <c r="P244" s="2" t="s">
        <v>367</v>
      </c>
      <c r="Q244" s="2" t="s">
        <v>23</v>
      </c>
    </row>
    <row r="245" spans="1:17" x14ac:dyDescent="0.25">
      <c r="A245" s="2" t="s">
        <v>171</v>
      </c>
      <c r="B245" s="2" t="s">
        <v>172</v>
      </c>
      <c r="C245" s="5">
        <v>20</v>
      </c>
      <c r="D245" s="3" t="b">
        <f>FALSE()</f>
        <v>0</v>
      </c>
      <c r="E245" s="3" t="b">
        <f>FALSE()</f>
        <v>0</v>
      </c>
      <c r="F245" s="2" t="s">
        <v>23</v>
      </c>
      <c r="G245" s="2" t="s">
        <v>364</v>
      </c>
      <c r="H245" s="2" t="s">
        <v>23</v>
      </c>
      <c r="I245" s="2" t="s">
        <v>365</v>
      </c>
      <c r="J245" s="3" t="b">
        <f>FALSE()</f>
        <v>0</v>
      </c>
      <c r="K245" s="10">
        <v>15.1</v>
      </c>
      <c r="L245" s="10">
        <v>0</v>
      </c>
      <c r="M245" s="2" t="s">
        <v>23</v>
      </c>
      <c r="N245" s="2" t="s">
        <v>164</v>
      </c>
      <c r="O245" s="2" t="s">
        <v>24</v>
      </c>
      <c r="P245" s="2" t="s">
        <v>367</v>
      </c>
      <c r="Q245" s="2" t="s">
        <v>23</v>
      </c>
    </row>
    <row r="246" spans="1:17" x14ac:dyDescent="0.25">
      <c r="A246" s="2" t="s">
        <v>718</v>
      </c>
      <c r="B246" s="2" t="s">
        <v>719</v>
      </c>
      <c r="C246" s="5">
        <v>23.999749999999999</v>
      </c>
      <c r="D246" s="3" t="b">
        <f>FALSE()</f>
        <v>0</v>
      </c>
      <c r="E246" s="3" t="b">
        <f>FALSE()</f>
        <v>0</v>
      </c>
      <c r="F246" s="2" t="s">
        <v>23</v>
      </c>
      <c r="G246" s="2" t="s">
        <v>364</v>
      </c>
      <c r="H246" s="2" t="s">
        <v>23</v>
      </c>
      <c r="I246" s="2" t="s">
        <v>365</v>
      </c>
      <c r="J246" s="3" t="b">
        <f>FALSE()</f>
        <v>0</v>
      </c>
      <c r="K246" s="10">
        <v>17.899999999999999</v>
      </c>
      <c r="L246" s="10">
        <v>0</v>
      </c>
      <c r="M246" s="2" t="s">
        <v>23</v>
      </c>
      <c r="N246" s="2" t="s">
        <v>164</v>
      </c>
      <c r="O246" s="2" t="s">
        <v>24</v>
      </c>
      <c r="P246" s="2" t="s">
        <v>367</v>
      </c>
      <c r="Q246" s="2" t="s">
        <v>23</v>
      </c>
    </row>
    <row r="247" spans="1:17" x14ac:dyDescent="0.25">
      <c r="A247" s="2" t="s">
        <v>720</v>
      </c>
      <c r="B247" s="2" t="s">
        <v>721</v>
      </c>
      <c r="C247" s="5">
        <v>172.80485999999999</v>
      </c>
      <c r="D247" s="3" t="b">
        <f>FALSE()</f>
        <v>0</v>
      </c>
      <c r="E247" s="3" t="b">
        <f>FALSE()</f>
        <v>0</v>
      </c>
      <c r="F247" s="2" t="s">
        <v>23</v>
      </c>
      <c r="G247" s="2" t="s">
        <v>364</v>
      </c>
      <c r="H247" s="2" t="s">
        <v>23</v>
      </c>
      <c r="I247" s="2" t="s">
        <v>365</v>
      </c>
      <c r="J247" s="3" t="b">
        <f>FALSE()</f>
        <v>0</v>
      </c>
      <c r="K247" s="10">
        <v>15.2</v>
      </c>
      <c r="L247" s="10">
        <v>0</v>
      </c>
      <c r="M247" s="2" t="s">
        <v>23</v>
      </c>
      <c r="N247" s="2" t="s">
        <v>164</v>
      </c>
      <c r="O247" s="2" t="s">
        <v>24</v>
      </c>
      <c r="P247" s="2" t="s">
        <v>367</v>
      </c>
      <c r="Q247" s="2" t="s">
        <v>23</v>
      </c>
    </row>
    <row r="248" spans="1:17" x14ac:dyDescent="0.25">
      <c r="A248" s="2" t="s">
        <v>173</v>
      </c>
      <c r="B248" s="2" t="s">
        <v>174</v>
      </c>
      <c r="C248" s="5">
        <v>10</v>
      </c>
      <c r="D248" s="3" t="b">
        <f>FALSE()</f>
        <v>0</v>
      </c>
      <c r="E248" s="3" t="b">
        <f>FALSE()</f>
        <v>0</v>
      </c>
      <c r="F248" s="2" t="s">
        <v>23</v>
      </c>
      <c r="G248" s="2" t="s">
        <v>364</v>
      </c>
      <c r="H248" s="2" t="s">
        <v>23</v>
      </c>
      <c r="I248" s="2" t="s">
        <v>365</v>
      </c>
      <c r="J248" s="3" t="b">
        <f>FALSE()</f>
        <v>0</v>
      </c>
      <c r="K248" s="10">
        <v>16.100000000000001</v>
      </c>
      <c r="L248" s="10">
        <v>0</v>
      </c>
      <c r="M248" s="2" t="s">
        <v>23</v>
      </c>
      <c r="N248" s="2" t="s">
        <v>164</v>
      </c>
      <c r="O248" s="2" t="s">
        <v>24</v>
      </c>
      <c r="P248" s="2" t="s">
        <v>367</v>
      </c>
      <c r="Q248" s="2" t="s">
        <v>23</v>
      </c>
    </row>
    <row r="249" spans="1:17" x14ac:dyDescent="0.25">
      <c r="A249" s="2" t="s">
        <v>175</v>
      </c>
      <c r="B249" s="2" t="s">
        <v>176</v>
      </c>
      <c r="C249" s="5">
        <v>161.851</v>
      </c>
      <c r="D249" s="3" t="b">
        <f>FALSE()</f>
        <v>0</v>
      </c>
      <c r="E249" s="3" t="b">
        <f>FALSE()</f>
        <v>0</v>
      </c>
      <c r="F249" s="2" t="s">
        <v>23</v>
      </c>
      <c r="G249" s="2" t="s">
        <v>364</v>
      </c>
      <c r="H249" s="2" t="s">
        <v>23</v>
      </c>
      <c r="I249" s="2" t="s">
        <v>365</v>
      </c>
      <c r="J249" s="3" t="b">
        <f>FALSE()</f>
        <v>0</v>
      </c>
      <c r="K249" s="10">
        <v>17.2</v>
      </c>
      <c r="L249" s="10">
        <v>0</v>
      </c>
      <c r="M249" s="2" t="s">
        <v>23</v>
      </c>
      <c r="N249" s="2" t="s">
        <v>164</v>
      </c>
      <c r="O249" s="2" t="s">
        <v>24</v>
      </c>
      <c r="P249" s="2" t="s">
        <v>367</v>
      </c>
      <c r="Q249" s="2" t="s">
        <v>23</v>
      </c>
    </row>
    <row r="250" spans="1:17" x14ac:dyDescent="0.25">
      <c r="A250" s="2" t="s">
        <v>722</v>
      </c>
      <c r="B250" s="2" t="s">
        <v>723</v>
      </c>
      <c r="C250" s="5">
        <v>80</v>
      </c>
      <c r="D250" s="3" t="b">
        <f>FALSE()</f>
        <v>0</v>
      </c>
      <c r="E250" s="3" t="b">
        <f>FALSE()</f>
        <v>0</v>
      </c>
      <c r="F250" s="2" t="s">
        <v>23</v>
      </c>
      <c r="G250" s="2" t="s">
        <v>364</v>
      </c>
      <c r="H250" s="2" t="s">
        <v>23</v>
      </c>
      <c r="I250" s="2" t="s">
        <v>365</v>
      </c>
      <c r="J250" s="3" t="b">
        <f>FALSE()</f>
        <v>0</v>
      </c>
      <c r="K250" s="10">
        <v>15.6</v>
      </c>
      <c r="L250" s="10">
        <v>0</v>
      </c>
      <c r="M250" s="2" t="s">
        <v>23</v>
      </c>
      <c r="N250" s="2" t="s">
        <v>164</v>
      </c>
      <c r="O250" s="2" t="s">
        <v>24</v>
      </c>
      <c r="P250" s="2" t="s">
        <v>367</v>
      </c>
      <c r="Q250" s="2" t="s">
        <v>23</v>
      </c>
    </row>
    <row r="251" spans="1:17" x14ac:dyDescent="0.25">
      <c r="A251" s="2" t="s">
        <v>178</v>
      </c>
      <c r="B251" s="2" t="s">
        <v>179</v>
      </c>
      <c r="C251" s="5">
        <v>0</v>
      </c>
      <c r="D251" s="3" t="b">
        <f>FALSE()</f>
        <v>0</v>
      </c>
      <c r="E251" s="3" t="b">
        <f>FALSE()</f>
        <v>0</v>
      </c>
      <c r="F251" s="2" t="s">
        <v>23</v>
      </c>
      <c r="G251" s="2" t="s">
        <v>364</v>
      </c>
      <c r="H251" s="2" t="s">
        <v>23</v>
      </c>
      <c r="I251" s="2" t="s">
        <v>365</v>
      </c>
      <c r="J251" s="3" t="b">
        <f>TRUE()</f>
        <v>1</v>
      </c>
      <c r="K251" s="10">
        <v>0</v>
      </c>
      <c r="L251" s="10">
        <v>0</v>
      </c>
      <c r="M251" s="2" t="s">
        <v>23</v>
      </c>
      <c r="N251" s="2" t="s">
        <v>164</v>
      </c>
      <c r="O251" s="2" t="s">
        <v>24</v>
      </c>
      <c r="P251" s="2" t="s">
        <v>367</v>
      </c>
      <c r="Q251" s="2" t="s">
        <v>23</v>
      </c>
    </row>
    <row r="252" spans="1:17" x14ac:dyDescent="0.25">
      <c r="A252" s="2" t="s">
        <v>325</v>
      </c>
      <c r="B252" s="2" t="s">
        <v>336</v>
      </c>
      <c r="C252" s="5">
        <v>12700</v>
      </c>
      <c r="D252" s="3" t="b">
        <f>TRUE()</f>
        <v>1</v>
      </c>
      <c r="E252" s="3" t="b">
        <f>FALSE()</f>
        <v>0</v>
      </c>
      <c r="F252" s="2" t="s">
        <v>23</v>
      </c>
      <c r="G252" s="2" t="s">
        <v>364</v>
      </c>
      <c r="H252" s="2" t="s">
        <v>23</v>
      </c>
      <c r="I252" s="2" t="s">
        <v>487</v>
      </c>
      <c r="J252" s="3" t="b">
        <f>FALSE()</f>
        <v>0</v>
      </c>
      <c r="K252" s="10">
        <v>3.2399999999999998E-3</v>
      </c>
      <c r="L252" s="10">
        <v>2.6</v>
      </c>
      <c r="M252" s="2" t="s">
        <v>724</v>
      </c>
      <c r="N252" s="2" t="s">
        <v>55</v>
      </c>
      <c r="O252" s="2" t="s">
        <v>24</v>
      </c>
      <c r="P252" s="2" t="s">
        <v>367</v>
      </c>
      <c r="Q252" s="2" t="s">
        <v>23</v>
      </c>
    </row>
    <row r="253" spans="1:17" x14ac:dyDescent="0.25">
      <c r="A253" s="2" t="s">
        <v>328</v>
      </c>
      <c r="B253" s="2" t="s">
        <v>338</v>
      </c>
      <c r="C253" s="5">
        <v>0</v>
      </c>
      <c r="D253" s="3" t="b">
        <f>TRUE()</f>
        <v>1</v>
      </c>
      <c r="E253" s="3" t="b">
        <f>FALSE()</f>
        <v>0</v>
      </c>
      <c r="F253" s="2" t="s">
        <v>23</v>
      </c>
      <c r="G253" s="2" t="s">
        <v>364</v>
      </c>
      <c r="H253" s="2" t="s">
        <v>23</v>
      </c>
      <c r="I253" s="2" t="s">
        <v>487</v>
      </c>
      <c r="J253" s="3" t="b">
        <f>FALSE()</f>
        <v>0</v>
      </c>
      <c r="K253" s="10">
        <v>3.8899999999999998E-3</v>
      </c>
      <c r="L253" s="10">
        <v>2.85</v>
      </c>
      <c r="M253" s="2" t="s">
        <v>724</v>
      </c>
      <c r="N253" s="2" t="s">
        <v>55</v>
      </c>
      <c r="O253" s="2" t="s">
        <v>24</v>
      </c>
      <c r="P253" s="2" t="s">
        <v>367</v>
      </c>
      <c r="Q253" s="2" t="s">
        <v>23</v>
      </c>
    </row>
    <row r="254" spans="1:17" x14ac:dyDescent="0.25">
      <c r="A254" s="2" t="s">
        <v>331</v>
      </c>
      <c r="B254" s="2" t="s">
        <v>339</v>
      </c>
      <c r="C254" s="5">
        <v>0</v>
      </c>
      <c r="D254" s="3" t="b">
        <f>TRUE()</f>
        <v>1</v>
      </c>
      <c r="E254" s="3" t="b">
        <f>FALSE()</f>
        <v>0</v>
      </c>
      <c r="F254" s="2" t="s">
        <v>23</v>
      </c>
      <c r="G254" s="2" t="s">
        <v>364</v>
      </c>
      <c r="H254" s="2" t="s">
        <v>23</v>
      </c>
      <c r="I254" s="2" t="s">
        <v>487</v>
      </c>
      <c r="J254" s="3" t="b">
        <f>FALSE()</f>
        <v>0</v>
      </c>
      <c r="K254" s="10">
        <v>4.3499999999999997E-3</v>
      </c>
      <c r="L254" s="10">
        <v>0</v>
      </c>
      <c r="M254" s="2" t="s">
        <v>724</v>
      </c>
      <c r="N254" s="2" t="s">
        <v>55</v>
      </c>
      <c r="O254" s="2" t="s">
        <v>24</v>
      </c>
      <c r="P254" s="2" t="s">
        <v>367</v>
      </c>
      <c r="Q254" s="2" t="s">
        <v>23</v>
      </c>
    </row>
    <row r="255" spans="1:17" x14ac:dyDescent="0.25">
      <c r="A255" s="2" t="s">
        <v>725</v>
      </c>
      <c r="B255" s="2" t="s">
        <v>181</v>
      </c>
      <c r="C255" s="5">
        <v>0</v>
      </c>
      <c r="D255" s="3" t="b">
        <f>FALSE()</f>
        <v>0</v>
      </c>
      <c r="E255" s="3" t="b">
        <f>FALSE()</f>
        <v>0</v>
      </c>
      <c r="F255" s="2" t="s">
        <v>23</v>
      </c>
      <c r="G255" s="2" t="s">
        <v>364</v>
      </c>
      <c r="H255" s="2" t="s">
        <v>23</v>
      </c>
      <c r="I255" s="2" t="s">
        <v>487</v>
      </c>
      <c r="J255" s="3" t="b">
        <f>FALSE()</f>
        <v>0</v>
      </c>
      <c r="K255" s="10">
        <v>7.9000000000000008E-3</v>
      </c>
      <c r="L255" s="10">
        <v>0</v>
      </c>
      <c r="M255" s="2" t="s">
        <v>726</v>
      </c>
      <c r="N255" s="2" t="s">
        <v>182</v>
      </c>
      <c r="O255" s="2" t="s">
        <v>24</v>
      </c>
      <c r="P255" s="2" t="s">
        <v>367</v>
      </c>
      <c r="Q255" s="2" t="s">
        <v>23</v>
      </c>
    </row>
    <row r="256" spans="1:17" x14ac:dyDescent="0.25">
      <c r="A256" s="2" t="s">
        <v>727</v>
      </c>
      <c r="B256" s="2" t="s">
        <v>728</v>
      </c>
      <c r="C256" s="5">
        <v>0</v>
      </c>
      <c r="D256" s="3" t="b">
        <f>FALSE()</f>
        <v>0</v>
      </c>
      <c r="E256" s="3" t="b">
        <f>FALSE()</f>
        <v>0</v>
      </c>
      <c r="F256" s="2" t="s">
        <v>23</v>
      </c>
      <c r="G256" s="2" t="s">
        <v>364</v>
      </c>
      <c r="H256" s="2" t="s">
        <v>23</v>
      </c>
      <c r="I256" s="2" t="s">
        <v>487</v>
      </c>
      <c r="J256" s="3" t="b">
        <f>TRUE()</f>
        <v>1</v>
      </c>
      <c r="K256" s="10">
        <v>0</v>
      </c>
      <c r="L256" s="10">
        <v>0</v>
      </c>
      <c r="M256" s="2" t="s">
        <v>724</v>
      </c>
      <c r="N256" s="2" t="s">
        <v>55</v>
      </c>
      <c r="O256" s="2" t="s">
        <v>24</v>
      </c>
      <c r="P256" s="2" t="s">
        <v>367</v>
      </c>
      <c r="Q256" s="2" t="s">
        <v>23</v>
      </c>
    </row>
    <row r="257" spans="1:17" x14ac:dyDescent="0.25">
      <c r="A257" s="2" t="s">
        <v>326</v>
      </c>
      <c r="B257" s="2" t="s">
        <v>184</v>
      </c>
      <c r="C257" s="5">
        <v>0</v>
      </c>
      <c r="D257" s="3" t="b">
        <f>TRUE()</f>
        <v>1</v>
      </c>
      <c r="E257" s="3" t="b">
        <f>FALSE()</f>
        <v>0</v>
      </c>
      <c r="F257" s="2" t="s">
        <v>23</v>
      </c>
      <c r="G257" s="2" t="s">
        <v>364</v>
      </c>
      <c r="H257" s="2" t="s">
        <v>23</v>
      </c>
      <c r="I257" s="2" t="s">
        <v>487</v>
      </c>
      <c r="J257" s="3" t="b">
        <f>FALSE()</f>
        <v>0</v>
      </c>
      <c r="K257" s="10">
        <v>2.5999999999999999E-3</v>
      </c>
      <c r="L257" s="10">
        <v>0</v>
      </c>
      <c r="M257" s="2" t="s">
        <v>724</v>
      </c>
      <c r="N257" s="2" t="s">
        <v>55</v>
      </c>
      <c r="O257" s="2" t="s">
        <v>24</v>
      </c>
      <c r="P257" s="2" t="s">
        <v>367</v>
      </c>
      <c r="Q257" s="2" t="s">
        <v>23</v>
      </c>
    </row>
    <row r="258" spans="1:17" x14ac:dyDescent="0.25">
      <c r="A258" s="2" t="s">
        <v>332</v>
      </c>
      <c r="B258" s="2" t="s">
        <v>729</v>
      </c>
      <c r="C258" s="5">
        <v>0</v>
      </c>
      <c r="D258" s="3" t="b">
        <f>TRUE()</f>
        <v>1</v>
      </c>
      <c r="E258" s="3" t="b">
        <f>FALSE()</f>
        <v>0</v>
      </c>
      <c r="F258" s="2" t="s">
        <v>23</v>
      </c>
      <c r="G258" s="2" t="s">
        <v>364</v>
      </c>
      <c r="H258" s="2" t="s">
        <v>23</v>
      </c>
      <c r="I258" s="2" t="s">
        <v>487</v>
      </c>
      <c r="J258" s="3" t="b">
        <f>FALSE()</f>
        <v>0</v>
      </c>
      <c r="K258" s="10">
        <v>3.5799999999999998E-3</v>
      </c>
      <c r="L258" s="10">
        <v>0</v>
      </c>
      <c r="M258" s="2" t="s">
        <v>724</v>
      </c>
      <c r="N258" s="2" t="s">
        <v>23</v>
      </c>
      <c r="O258" s="2" t="s">
        <v>24</v>
      </c>
      <c r="P258" s="2" t="s">
        <v>367</v>
      </c>
      <c r="Q258" s="2" t="s">
        <v>23</v>
      </c>
    </row>
    <row r="259" spans="1:17" x14ac:dyDescent="0.25">
      <c r="A259" s="2" t="s">
        <v>329</v>
      </c>
      <c r="B259" s="2" t="s">
        <v>186</v>
      </c>
      <c r="C259" s="5">
        <v>0</v>
      </c>
      <c r="D259" s="3" t="b">
        <f>TRUE()</f>
        <v>1</v>
      </c>
      <c r="E259" s="3" t="b">
        <f>FALSE()</f>
        <v>0</v>
      </c>
      <c r="F259" s="2" t="s">
        <v>23</v>
      </c>
      <c r="G259" s="2" t="s">
        <v>364</v>
      </c>
      <c r="H259" s="2" t="s">
        <v>23</v>
      </c>
      <c r="I259" s="2" t="s">
        <v>487</v>
      </c>
      <c r="J259" s="3" t="b">
        <f>FALSE()</f>
        <v>0</v>
      </c>
      <c r="K259" s="10">
        <v>2.8500000000000001E-3</v>
      </c>
      <c r="L259" s="10">
        <v>0</v>
      </c>
      <c r="M259" s="2" t="s">
        <v>724</v>
      </c>
      <c r="N259" s="2" t="s">
        <v>55</v>
      </c>
      <c r="O259" s="2" t="s">
        <v>24</v>
      </c>
      <c r="P259" s="2" t="s">
        <v>367</v>
      </c>
      <c r="Q259" s="2" t="s">
        <v>23</v>
      </c>
    </row>
    <row r="260" spans="1:17" x14ac:dyDescent="0.25">
      <c r="A260" s="2" t="s">
        <v>334</v>
      </c>
      <c r="B260" s="2" t="s">
        <v>335</v>
      </c>
      <c r="C260" s="5">
        <v>0</v>
      </c>
      <c r="D260" s="3" t="b">
        <f>TRUE()</f>
        <v>1</v>
      </c>
      <c r="E260" s="3" t="b">
        <f>FALSE()</f>
        <v>0</v>
      </c>
      <c r="F260" s="2" t="s">
        <v>23</v>
      </c>
      <c r="G260" s="2" t="s">
        <v>364</v>
      </c>
      <c r="H260" s="2" t="s">
        <v>23</v>
      </c>
      <c r="I260" s="2" t="s">
        <v>487</v>
      </c>
      <c r="J260" s="3" t="b">
        <f>FALSE()</f>
        <v>0</v>
      </c>
      <c r="K260" s="10">
        <v>0</v>
      </c>
      <c r="L260" s="10">
        <v>0</v>
      </c>
      <c r="M260" s="2" t="s">
        <v>730</v>
      </c>
      <c r="N260" s="2" t="s">
        <v>23</v>
      </c>
      <c r="O260" s="2" t="s">
        <v>24</v>
      </c>
      <c r="P260" s="2" t="s">
        <v>367</v>
      </c>
      <c r="Q260" s="2" t="s">
        <v>23</v>
      </c>
    </row>
    <row r="261" spans="1:17" x14ac:dyDescent="0.25">
      <c r="A261" s="2" t="s">
        <v>731</v>
      </c>
      <c r="B261" s="2" t="s">
        <v>336</v>
      </c>
      <c r="C261" s="5">
        <v>1112.7</v>
      </c>
      <c r="D261" s="3" t="b">
        <f>FALSE()</f>
        <v>0</v>
      </c>
      <c r="E261" s="3" t="b">
        <f>FALSE()</f>
        <v>0</v>
      </c>
      <c r="F261" s="2" t="s">
        <v>23</v>
      </c>
      <c r="G261" s="2" t="s">
        <v>364</v>
      </c>
      <c r="H261" s="2" t="s">
        <v>23</v>
      </c>
      <c r="I261" s="2" t="s">
        <v>732</v>
      </c>
      <c r="J261" s="3" t="b">
        <f>FALSE()</f>
        <v>0</v>
      </c>
      <c r="K261" s="10">
        <v>3.2399999999999998E-3</v>
      </c>
      <c r="L261" s="10">
        <v>2.6</v>
      </c>
      <c r="M261" s="2" t="s">
        <v>724</v>
      </c>
      <c r="N261" s="2" t="s">
        <v>55</v>
      </c>
      <c r="O261" s="2" t="s">
        <v>24</v>
      </c>
      <c r="P261" s="2" t="s">
        <v>367</v>
      </c>
      <c r="Q261" s="2" t="s">
        <v>23</v>
      </c>
    </row>
    <row r="262" spans="1:17" x14ac:dyDescent="0.25">
      <c r="A262" s="2" t="s">
        <v>733</v>
      </c>
      <c r="B262" s="2" t="s">
        <v>338</v>
      </c>
      <c r="C262" s="5">
        <v>618.4</v>
      </c>
      <c r="D262" s="3" t="b">
        <f>FALSE()</f>
        <v>0</v>
      </c>
      <c r="E262" s="3" t="b">
        <f>FALSE()</f>
        <v>0</v>
      </c>
      <c r="F262" s="2" t="s">
        <v>23</v>
      </c>
      <c r="G262" s="2" t="s">
        <v>364</v>
      </c>
      <c r="H262" s="2" t="s">
        <v>23</v>
      </c>
      <c r="I262" s="2" t="s">
        <v>732</v>
      </c>
      <c r="J262" s="3" t="b">
        <f>FALSE()</f>
        <v>0</v>
      </c>
      <c r="K262" s="10">
        <v>3.8899999999999998E-3</v>
      </c>
      <c r="L262" s="10">
        <v>2.85</v>
      </c>
      <c r="M262" s="2" t="s">
        <v>724</v>
      </c>
      <c r="N262" s="2" t="s">
        <v>55</v>
      </c>
      <c r="O262" s="2" t="s">
        <v>24</v>
      </c>
      <c r="P262" s="2" t="s">
        <v>367</v>
      </c>
      <c r="Q262" s="2" t="s">
        <v>23</v>
      </c>
    </row>
    <row r="263" spans="1:17" x14ac:dyDescent="0.25">
      <c r="A263" s="2" t="s">
        <v>734</v>
      </c>
      <c r="B263" s="2" t="s">
        <v>339</v>
      </c>
      <c r="C263" s="5">
        <v>881.5</v>
      </c>
      <c r="D263" s="3" t="b">
        <f>FALSE()</f>
        <v>0</v>
      </c>
      <c r="E263" s="3" t="b">
        <f>FALSE()</f>
        <v>0</v>
      </c>
      <c r="F263" s="2" t="s">
        <v>23</v>
      </c>
      <c r="G263" s="2" t="s">
        <v>364</v>
      </c>
      <c r="H263" s="2" t="s">
        <v>23</v>
      </c>
      <c r="I263" s="2" t="s">
        <v>732</v>
      </c>
      <c r="J263" s="3" t="b">
        <f>FALSE()</f>
        <v>0</v>
      </c>
      <c r="K263" s="10">
        <v>4.3499999999999997E-3</v>
      </c>
      <c r="L263" s="10">
        <v>0</v>
      </c>
      <c r="M263" s="2" t="s">
        <v>724</v>
      </c>
      <c r="N263" s="2" t="s">
        <v>55</v>
      </c>
      <c r="O263" s="2" t="s">
        <v>24</v>
      </c>
      <c r="P263" s="2" t="s">
        <v>367</v>
      </c>
      <c r="Q263" s="2" t="s">
        <v>23</v>
      </c>
    </row>
    <row r="264" spans="1:17" x14ac:dyDescent="0.25">
      <c r="A264" s="2" t="s">
        <v>180</v>
      </c>
      <c r="B264" s="2" t="s">
        <v>181</v>
      </c>
      <c r="C264" s="5">
        <v>2100</v>
      </c>
      <c r="D264" s="3" t="b">
        <f>FALSE()</f>
        <v>0</v>
      </c>
      <c r="E264" s="3" t="b">
        <f>FALSE()</f>
        <v>0</v>
      </c>
      <c r="F264" s="2" t="s">
        <v>23</v>
      </c>
      <c r="G264" s="2" t="s">
        <v>364</v>
      </c>
      <c r="H264" s="2" t="s">
        <v>23</v>
      </c>
      <c r="I264" s="2" t="s">
        <v>732</v>
      </c>
      <c r="J264" s="3" t="b">
        <f>FALSE()</f>
        <v>0</v>
      </c>
      <c r="K264" s="10">
        <v>0.01</v>
      </c>
      <c r="L264" s="10">
        <v>0</v>
      </c>
      <c r="M264" s="2" t="s">
        <v>726</v>
      </c>
      <c r="N264" s="2" t="s">
        <v>182</v>
      </c>
      <c r="O264" s="2" t="s">
        <v>24</v>
      </c>
      <c r="P264" s="2" t="s">
        <v>367</v>
      </c>
      <c r="Q264" s="2" t="s">
        <v>23</v>
      </c>
    </row>
    <row r="265" spans="1:17" x14ac:dyDescent="0.25">
      <c r="A265" s="2" t="s">
        <v>735</v>
      </c>
      <c r="B265" s="2" t="s">
        <v>728</v>
      </c>
      <c r="C265" s="5">
        <v>0</v>
      </c>
      <c r="D265" s="3" t="b">
        <f>FALSE()</f>
        <v>0</v>
      </c>
      <c r="E265" s="3" t="b">
        <f>FALSE()</f>
        <v>0</v>
      </c>
      <c r="F265" s="2" t="s">
        <v>23</v>
      </c>
      <c r="G265" s="2" t="s">
        <v>364</v>
      </c>
      <c r="H265" s="2" t="s">
        <v>23</v>
      </c>
      <c r="I265" s="2" t="s">
        <v>732</v>
      </c>
      <c r="J265" s="3" t="b">
        <f>TRUE()</f>
        <v>1</v>
      </c>
      <c r="K265" s="10">
        <v>0</v>
      </c>
      <c r="L265" s="10">
        <v>0</v>
      </c>
      <c r="M265" s="2" t="s">
        <v>724</v>
      </c>
      <c r="N265" s="2" t="s">
        <v>55</v>
      </c>
      <c r="O265" s="2" t="s">
        <v>24</v>
      </c>
      <c r="P265" s="2" t="s">
        <v>367</v>
      </c>
      <c r="Q265" s="2" t="s">
        <v>23</v>
      </c>
    </row>
    <row r="266" spans="1:17" x14ac:dyDescent="0.25">
      <c r="A266" s="2" t="s">
        <v>183</v>
      </c>
      <c r="B266" s="2" t="s">
        <v>184</v>
      </c>
      <c r="C266" s="5">
        <v>7188.5</v>
      </c>
      <c r="D266" s="3" t="b">
        <f>FALSE()</f>
        <v>0</v>
      </c>
      <c r="E266" s="3" t="b">
        <f>FALSE()</f>
        <v>0</v>
      </c>
      <c r="F266" s="2" t="s">
        <v>23</v>
      </c>
      <c r="G266" s="2" t="s">
        <v>364</v>
      </c>
      <c r="H266" s="2" t="s">
        <v>23</v>
      </c>
      <c r="I266" s="2" t="s">
        <v>732</v>
      </c>
      <c r="J266" s="3" t="b">
        <f>FALSE()</f>
        <v>0</v>
      </c>
      <c r="K266" s="10">
        <v>2.5999999999999999E-3</v>
      </c>
      <c r="L266" s="10">
        <v>0</v>
      </c>
      <c r="M266" s="2" t="s">
        <v>724</v>
      </c>
      <c r="N266" s="2" t="s">
        <v>55</v>
      </c>
      <c r="O266" s="2" t="s">
        <v>24</v>
      </c>
      <c r="P266" s="2" t="s">
        <v>367</v>
      </c>
      <c r="Q266" s="2" t="s">
        <v>23</v>
      </c>
    </row>
    <row r="267" spans="1:17" x14ac:dyDescent="0.25">
      <c r="A267" s="2" t="s">
        <v>736</v>
      </c>
      <c r="B267" s="2" t="s">
        <v>729</v>
      </c>
      <c r="C267" s="5">
        <v>53</v>
      </c>
      <c r="D267" s="3" t="b">
        <f>FALSE()</f>
        <v>0</v>
      </c>
      <c r="E267" s="3" t="b">
        <f>FALSE()</f>
        <v>0</v>
      </c>
      <c r="F267" s="2" t="s">
        <v>23</v>
      </c>
      <c r="G267" s="2" t="s">
        <v>364</v>
      </c>
      <c r="H267" s="2" t="s">
        <v>23</v>
      </c>
      <c r="I267" s="2" t="s">
        <v>732</v>
      </c>
      <c r="J267" s="3" t="b">
        <f>FALSE()</f>
        <v>0</v>
      </c>
      <c r="K267" s="10">
        <v>3.5799999999999998E-3</v>
      </c>
      <c r="L267" s="10">
        <v>0</v>
      </c>
      <c r="M267" s="2" t="s">
        <v>724</v>
      </c>
      <c r="N267" s="2" t="s">
        <v>23</v>
      </c>
      <c r="O267" s="2" t="s">
        <v>24</v>
      </c>
      <c r="P267" s="2" t="s">
        <v>367</v>
      </c>
      <c r="Q267" s="2" t="s">
        <v>23</v>
      </c>
    </row>
    <row r="268" spans="1:17" x14ac:dyDescent="0.25">
      <c r="A268" s="2" t="s">
        <v>185</v>
      </c>
      <c r="B268" s="2" t="s">
        <v>186</v>
      </c>
      <c r="C268" s="5">
        <v>8591.02</v>
      </c>
      <c r="D268" s="3" t="b">
        <f>FALSE()</f>
        <v>0</v>
      </c>
      <c r="E268" s="3" t="b">
        <f>FALSE()</f>
        <v>0</v>
      </c>
      <c r="F268" s="2" t="s">
        <v>23</v>
      </c>
      <c r="G268" s="2" t="s">
        <v>364</v>
      </c>
      <c r="H268" s="2" t="s">
        <v>23</v>
      </c>
      <c r="I268" s="2" t="s">
        <v>732</v>
      </c>
      <c r="J268" s="3" t="b">
        <f>FALSE()</f>
        <v>0</v>
      </c>
      <c r="K268" s="10">
        <v>2.8500000000000001E-3</v>
      </c>
      <c r="L268" s="10">
        <v>0</v>
      </c>
      <c r="M268" s="2" t="s">
        <v>724</v>
      </c>
      <c r="N268" s="2" t="s">
        <v>55</v>
      </c>
      <c r="O268" s="2" t="s">
        <v>24</v>
      </c>
      <c r="P268" s="2" t="s">
        <v>367</v>
      </c>
      <c r="Q268" s="2" t="s">
        <v>23</v>
      </c>
    </row>
    <row r="269" spans="1:17" x14ac:dyDescent="0.25">
      <c r="A269" s="2" t="s">
        <v>737</v>
      </c>
      <c r="B269" s="2" t="s">
        <v>335</v>
      </c>
      <c r="C269" s="5">
        <v>84</v>
      </c>
      <c r="D269" s="3" t="b">
        <f>FALSE()</f>
        <v>0</v>
      </c>
      <c r="E269" s="3" t="b">
        <f>FALSE()</f>
        <v>0</v>
      </c>
      <c r="F269" s="2" t="s">
        <v>23</v>
      </c>
      <c r="G269" s="2" t="s">
        <v>364</v>
      </c>
      <c r="H269" s="2" t="s">
        <v>23</v>
      </c>
      <c r="I269" s="2" t="s">
        <v>732</v>
      </c>
      <c r="J269" s="3" t="b">
        <f>FALSE()</f>
        <v>0</v>
      </c>
      <c r="K269" s="10">
        <v>0</v>
      </c>
      <c r="L269" s="10">
        <v>0</v>
      </c>
      <c r="M269" s="2" t="s">
        <v>730</v>
      </c>
      <c r="N269" s="2" t="s">
        <v>23</v>
      </c>
      <c r="O269" s="2" t="s">
        <v>24</v>
      </c>
      <c r="P269" s="2" t="s">
        <v>367</v>
      </c>
      <c r="Q269" s="2" t="s">
        <v>23</v>
      </c>
    </row>
    <row r="270" spans="1:17" x14ac:dyDescent="0.25">
      <c r="A270" s="2" t="s">
        <v>738</v>
      </c>
      <c r="B270" s="2" t="s">
        <v>739</v>
      </c>
      <c r="C270" s="5">
        <v>10000</v>
      </c>
      <c r="D270" s="3" t="b">
        <f>FALSE()</f>
        <v>0</v>
      </c>
      <c r="E270" s="3" t="b">
        <f>FALSE()</f>
        <v>0</v>
      </c>
      <c r="F270" s="2" t="s">
        <v>23</v>
      </c>
      <c r="G270" s="2" t="s">
        <v>364</v>
      </c>
      <c r="H270" s="2" t="s">
        <v>23</v>
      </c>
      <c r="I270" s="2" t="s">
        <v>732</v>
      </c>
      <c r="J270" s="3" t="b">
        <f>FALSE()</f>
        <v>0</v>
      </c>
      <c r="K270" s="10">
        <v>0.01</v>
      </c>
      <c r="L270" s="10">
        <v>0</v>
      </c>
      <c r="M270" s="2" t="s">
        <v>726</v>
      </c>
      <c r="N270" s="2" t="s">
        <v>23</v>
      </c>
      <c r="O270" s="2" t="s">
        <v>24</v>
      </c>
      <c r="P270" s="2" t="s">
        <v>367</v>
      </c>
      <c r="Q270" s="2" t="s">
        <v>23</v>
      </c>
    </row>
    <row r="271" spans="1:17" x14ac:dyDescent="0.25">
      <c r="A271" s="2" t="s">
        <v>740</v>
      </c>
      <c r="B271" s="2" t="s">
        <v>741</v>
      </c>
      <c r="C271" s="5">
        <v>0</v>
      </c>
      <c r="D271" s="3" t="b">
        <f>FALSE()</f>
        <v>0</v>
      </c>
      <c r="E271" s="3" t="b">
        <f>FALSE()</f>
        <v>0</v>
      </c>
      <c r="F271" s="2" t="s">
        <v>23</v>
      </c>
      <c r="G271" s="2" t="s">
        <v>364</v>
      </c>
      <c r="H271" s="2" t="s">
        <v>23</v>
      </c>
      <c r="I271" s="2" t="s">
        <v>732</v>
      </c>
      <c r="J271" s="3" t="b">
        <f>TRUE()</f>
        <v>1</v>
      </c>
      <c r="K271" s="10">
        <v>1E-3</v>
      </c>
      <c r="L271" s="10">
        <v>0</v>
      </c>
      <c r="M271" s="2" t="s">
        <v>724</v>
      </c>
      <c r="N271" s="2" t="s">
        <v>55</v>
      </c>
      <c r="O271" s="2" t="s">
        <v>24</v>
      </c>
      <c r="P271" s="2" t="s">
        <v>367</v>
      </c>
      <c r="Q271" s="2" t="s">
        <v>23</v>
      </c>
    </row>
    <row r="272" spans="1:17" x14ac:dyDescent="0.25">
      <c r="A272" s="2" t="s">
        <v>742</v>
      </c>
      <c r="B272" s="2" t="s">
        <v>743</v>
      </c>
      <c r="C272" s="5">
        <v>2</v>
      </c>
      <c r="D272" s="3" t="b">
        <f>FALSE()</f>
        <v>0</v>
      </c>
      <c r="E272" s="3" t="b">
        <f>FALSE()</f>
        <v>0</v>
      </c>
      <c r="F272" s="2" t="s">
        <v>742</v>
      </c>
      <c r="G272" s="2" t="s">
        <v>744</v>
      </c>
      <c r="H272" s="2" t="s">
        <v>745</v>
      </c>
      <c r="I272" s="2" t="s">
        <v>487</v>
      </c>
      <c r="J272" s="3" t="b">
        <f>TRUE()</f>
        <v>1</v>
      </c>
      <c r="K272" s="10">
        <v>2.4900000000000002</v>
      </c>
      <c r="L272" s="10">
        <v>2.2400000000000002</v>
      </c>
      <c r="M272" s="2" t="s">
        <v>23</v>
      </c>
      <c r="N272" s="2" t="s">
        <v>23</v>
      </c>
      <c r="O272" s="2" t="s">
        <v>473</v>
      </c>
      <c r="P272" s="2" t="s">
        <v>367</v>
      </c>
      <c r="Q272" s="2" t="s">
        <v>23</v>
      </c>
    </row>
    <row r="273" spans="1:17" x14ac:dyDescent="0.25">
      <c r="A273" s="2" t="s">
        <v>746</v>
      </c>
      <c r="B273" s="2" t="s">
        <v>747</v>
      </c>
      <c r="C273" s="5">
        <v>0</v>
      </c>
      <c r="D273" s="3" t="b">
        <f>FALSE()</f>
        <v>0</v>
      </c>
      <c r="E273" s="3" t="b">
        <f>FALSE()</f>
        <v>0</v>
      </c>
      <c r="F273" s="2" t="s">
        <v>746</v>
      </c>
      <c r="G273" s="2" t="s">
        <v>744</v>
      </c>
      <c r="H273" s="2" t="s">
        <v>748</v>
      </c>
      <c r="I273" s="2" t="s">
        <v>487</v>
      </c>
      <c r="J273" s="3" t="b">
        <f>TRUE()</f>
        <v>1</v>
      </c>
      <c r="K273" s="10">
        <v>0</v>
      </c>
      <c r="L273" s="10">
        <v>0</v>
      </c>
      <c r="M273" s="2" t="s">
        <v>23</v>
      </c>
      <c r="N273" s="2" t="s">
        <v>23</v>
      </c>
      <c r="O273" s="2" t="s">
        <v>24</v>
      </c>
      <c r="P273" s="2" t="s">
        <v>367</v>
      </c>
      <c r="Q273" s="2" t="s">
        <v>23</v>
      </c>
    </row>
    <row r="274" spans="1:17" x14ac:dyDescent="0.25">
      <c r="A274" s="2" t="s">
        <v>749</v>
      </c>
      <c r="B274" s="2" t="s">
        <v>750</v>
      </c>
      <c r="C274" s="5">
        <v>0</v>
      </c>
      <c r="D274" s="3" t="b">
        <f>FALSE()</f>
        <v>0</v>
      </c>
      <c r="E274" s="3" t="b">
        <f>FALSE()</f>
        <v>0</v>
      </c>
      <c r="F274" s="2" t="s">
        <v>749</v>
      </c>
      <c r="G274" s="2" t="s">
        <v>744</v>
      </c>
      <c r="H274" s="2" t="s">
        <v>748</v>
      </c>
      <c r="I274" s="2" t="s">
        <v>487</v>
      </c>
      <c r="J274" s="3" t="b">
        <f>TRUE()</f>
        <v>1</v>
      </c>
      <c r="K274" s="10">
        <v>0</v>
      </c>
      <c r="L274" s="10">
        <v>0</v>
      </c>
      <c r="M274" s="2" t="s">
        <v>23</v>
      </c>
      <c r="N274" s="2" t="s">
        <v>23</v>
      </c>
      <c r="O274" s="2" t="s">
        <v>24</v>
      </c>
      <c r="P274" s="2" t="s">
        <v>367</v>
      </c>
      <c r="Q274" s="2" t="s">
        <v>23</v>
      </c>
    </row>
    <row r="275" spans="1:17" x14ac:dyDescent="0.25">
      <c r="A275" s="2" t="s">
        <v>751</v>
      </c>
      <c r="B275" s="2" t="s">
        <v>752</v>
      </c>
      <c r="C275" s="5">
        <v>2</v>
      </c>
      <c r="D275" s="3" t="b">
        <f>FALSE()</f>
        <v>0</v>
      </c>
      <c r="E275" s="3" t="b">
        <f>FALSE()</f>
        <v>0</v>
      </c>
      <c r="F275" s="2" t="s">
        <v>751</v>
      </c>
      <c r="G275" s="2" t="s">
        <v>744</v>
      </c>
      <c r="H275" s="2" t="s">
        <v>745</v>
      </c>
      <c r="I275" s="2" t="s">
        <v>487</v>
      </c>
      <c r="J275" s="3" t="b">
        <f>TRUE()</f>
        <v>1</v>
      </c>
      <c r="K275" s="10">
        <v>0.94499999999999995</v>
      </c>
      <c r="L275" s="10">
        <v>0</v>
      </c>
      <c r="M275" s="2" t="s">
        <v>23</v>
      </c>
      <c r="N275" s="2" t="s">
        <v>23</v>
      </c>
      <c r="O275" s="2" t="s">
        <v>473</v>
      </c>
      <c r="P275" s="2" t="s">
        <v>367</v>
      </c>
      <c r="Q275" s="2" t="s">
        <v>23</v>
      </c>
    </row>
    <row r="276" spans="1:17" x14ac:dyDescent="0.25">
      <c r="A276" s="2" t="s">
        <v>753</v>
      </c>
      <c r="B276" s="2" t="s">
        <v>754</v>
      </c>
      <c r="C276" s="5">
        <v>5</v>
      </c>
      <c r="D276" s="3" t="b">
        <f>FALSE()</f>
        <v>0</v>
      </c>
      <c r="E276" s="3" t="b">
        <f>FALSE()</f>
        <v>0</v>
      </c>
      <c r="F276" s="2" t="s">
        <v>753</v>
      </c>
      <c r="G276" s="2" t="s">
        <v>744</v>
      </c>
      <c r="H276" s="2" t="s">
        <v>745</v>
      </c>
      <c r="I276" s="2" t="s">
        <v>487</v>
      </c>
      <c r="J276" s="3" t="b">
        <f>FALSE()</f>
        <v>0</v>
      </c>
      <c r="K276" s="10">
        <v>2.2200000000000002</v>
      </c>
      <c r="L276" s="10">
        <v>0</v>
      </c>
      <c r="M276" s="2" t="s">
        <v>23</v>
      </c>
      <c r="N276" s="2" t="s">
        <v>23</v>
      </c>
      <c r="O276" s="2" t="s">
        <v>473</v>
      </c>
      <c r="P276" s="2" t="s">
        <v>367</v>
      </c>
      <c r="Q276" s="2" t="s">
        <v>23</v>
      </c>
    </row>
    <row r="277" spans="1:17" x14ac:dyDescent="0.25">
      <c r="A277" s="2" t="s">
        <v>755</v>
      </c>
      <c r="B277" s="2" t="s">
        <v>756</v>
      </c>
      <c r="C277" s="5">
        <v>1</v>
      </c>
      <c r="D277" s="3" t="b">
        <f>FALSE()</f>
        <v>0</v>
      </c>
      <c r="E277" s="3" t="b">
        <f>FALSE()</f>
        <v>0</v>
      </c>
      <c r="F277" s="2" t="s">
        <v>755</v>
      </c>
      <c r="G277" s="2" t="s">
        <v>744</v>
      </c>
      <c r="H277" s="2" t="s">
        <v>745</v>
      </c>
      <c r="I277" s="2" t="s">
        <v>487</v>
      </c>
      <c r="J277" s="3" t="b">
        <f>TRUE()</f>
        <v>1</v>
      </c>
      <c r="K277" s="10">
        <v>3.44</v>
      </c>
      <c r="L277" s="10">
        <v>0</v>
      </c>
      <c r="M277" s="2" t="s">
        <v>23</v>
      </c>
      <c r="N277" s="2" t="s">
        <v>23</v>
      </c>
      <c r="O277" s="2" t="s">
        <v>473</v>
      </c>
      <c r="P277" s="2" t="s">
        <v>367</v>
      </c>
      <c r="Q277" s="2" t="s">
        <v>23</v>
      </c>
    </row>
    <row r="278" spans="1:17" x14ac:dyDescent="0.25">
      <c r="A278" s="2" t="s">
        <v>757</v>
      </c>
      <c r="B278" s="2" t="s">
        <v>758</v>
      </c>
      <c r="C278" s="5">
        <v>1</v>
      </c>
      <c r="D278" s="3" t="b">
        <f>FALSE()</f>
        <v>0</v>
      </c>
      <c r="E278" s="3" t="b">
        <f>FALSE()</f>
        <v>0</v>
      </c>
      <c r="F278" s="2" t="s">
        <v>757</v>
      </c>
      <c r="G278" s="2" t="s">
        <v>744</v>
      </c>
      <c r="H278" s="2" t="s">
        <v>745</v>
      </c>
      <c r="I278" s="2" t="s">
        <v>487</v>
      </c>
      <c r="J278" s="3" t="b">
        <f>TRUE()</f>
        <v>1</v>
      </c>
      <c r="K278" s="10">
        <v>1.61</v>
      </c>
      <c r="L278" s="10">
        <v>0</v>
      </c>
      <c r="M278" s="2" t="s">
        <v>23</v>
      </c>
      <c r="N278" s="2" t="s">
        <v>23</v>
      </c>
      <c r="O278" s="2" t="s">
        <v>473</v>
      </c>
      <c r="P278" s="2" t="s">
        <v>367</v>
      </c>
      <c r="Q278" s="2" t="s">
        <v>23</v>
      </c>
    </row>
    <row r="279" spans="1:17" x14ac:dyDescent="0.25">
      <c r="A279" s="2" t="s">
        <v>759</v>
      </c>
      <c r="B279" s="2" t="s">
        <v>760</v>
      </c>
      <c r="C279" s="5">
        <v>1</v>
      </c>
      <c r="D279" s="3" t="b">
        <f>FALSE()</f>
        <v>0</v>
      </c>
      <c r="E279" s="3" t="b">
        <f>FALSE()</f>
        <v>0</v>
      </c>
      <c r="F279" s="2" t="s">
        <v>759</v>
      </c>
      <c r="G279" s="2" t="s">
        <v>744</v>
      </c>
      <c r="H279" s="2" t="s">
        <v>745</v>
      </c>
      <c r="I279" s="2" t="s">
        <v>487</v>
      </c>
      <c r="J279" s="3" t="b">
        <f>TRUE()</f>
        <v>1</v>
      </c>
      <c r="K279" s="10">
        <v>1.47</v>
      </c>
      <c r="L279" s="10">
        <v>0</v>
      </c>
      <c r="M279" s="2" t="s">
        <v>23</v>
      </c>
      <c r="N279" s="2" t="s">
        <v>23</v>
      </c>
      <c r="O279" s="2" t="s">
        <v>473</v>
      </c>
      <c r="P279" s="2" t="s">
        <v>367</v>
      </c>
      <c r="Q279" s="2" t="s">
        <v>23</v>
      </c>
    </row>
    <row r="280" spans="1:17" x14ac:dyDescent="0.25">
      <c r="A280" s="2" t="s">
        <v>761</v>
      </c>
      <c r="B280" s="2" t="s">
        <v>762</v>
      </c>
      <c r="C280" s="5">
        <v>5</v>
      </c>
      <c r="D280" s="3" t="b">
        <f>FALSE()</f>
        <v>0</v>
      </c>
      <c r="E280" s="3" t="b">
        <f>FALSE()</f>
        <v>0</v>
      </c>
      <c r="F280" s="2" t="s">
        <v>761</v>
      </c>
      <c r="G280" s="2" t="s">
        <v>744</v>
      </c>
      <c r="H280" s="2" t="s">
        <v>745</v>
      </c>
      <c r="I280" s="2" t="s">
        <v>487</v>
      </c>
      <c r="J280" s="3" t="b">
        <f>TRUE()</f>
        <v>1</v>
      </c>
      <c r="K280" s="10">
        <v>3.2519999999999998</v>
      </c>
      <c r="L280" s="10">
        <v>0</v>
      </c>
      <c r="M280" s="2" t="s">
        <v>23</v>
      </c>
      <c r="N280" s="2" t="s">
        <v>23</v>
      </c>
      <c r="O280" s="2" t="s">
        <v>473</v>
      </c>
      <c r="P280" s="2" t="s">
        <v>367</v>
      </c>
      <c r="Q280" s="2" t="s">
        <v>23</v>
      </c>
    </row>
    <row r="281" spans="1:17" x14ac:dyDescent="0.25">
      <c r="A281" s="2" t="s">
        <v>763</v>
      </c>
      <c r="B281" s="2" t="s">
        <v>764</v>
      </c>
      <c r="C281" s="5">
        <v>8</v>
      </c>
      <c r="D281" s="3" t="b">
        <f>FALSE()</f>
        <v>0</v>
      </c>
      <c r="E281" s="3" t="b">
        <f>FALSE()</f>
        <v>0</v>
      </c>
      <c r="F281" s="2" t="s">
        <v>763</v>
      </c>
      <c r="G281" s="2" t="s">
        <v>744</v>
      </c>
      <c r="H281" s="2" t="s">
        <v>745</v>
      </c>
      <c r="I281" s="2" t="s">
        <v>487</v>
      </c>
      <c r="J281" s="3" t="b">
        <f>FALSE()</f>
        <v>0</v>
      </c>
      <c r="K281" s="10">
        <v>3.5685699999999998</v>
      </c>
      <c r="L281" s="10">
        <v>0</v>
      </c>
      <c r="M281" s="2" t="s">
        <v>23</v>
      </c>
      <c r="N281" s="2" t="s">
        <v>23</v>
      </c>
      <c r="O281" s="2" t="s">
        <v>473</v>
      </c>
      <c r="P281" s="2" t="s">
        <v>367</v>
      </c>
      <c r="Q281" s="2" t="s">
        <v>23</v>
      </c>
    </row>
    <row r="282" spans="1:17" x14ac:dyDescent="0.25">
      <c r="A282" s="2" t="s">
        <v>765</v>
      </c>
      <c r="B282" s="2" t="s">
        <v>766</v>
      </c>
      <c r="C282" s="5">
        <v>1</v>
      </c>
      <c r="D282" s="3" t="b">
        <f>FALSE()</f>
        <v>0</v>
      </c>
      <c r="E282" s="3" t="b">
        <f>FALSE()</f>
        <v>0</v>
      </c>
      <c r="F282" s="2" t="s">
        <v>765</v>
      </c>
      <c r="G282" s="2" t="s">
        <v>744</v>
      </c>
      <c r="H282" s="2" t="s">
        <v>745</v>
      </c>
      <c r="I282" s="2" t="s">
        <v>487</v>
      </c>
      <c r="J282" s="3" t="b">
        <f>FALSE()</f>
        <v>0</v>
      </c>
      <c r="K282" s="10">
        <v>0</v>
      </c>
      <c r="L282" s="10">
        <v>0</v>
      </c>
      <c r="M282" s="2" t="s">
        <v>23</v>
      </c>
      <c r="N282" s="2" t="s">
        <v>23</v>
      </c>
      <c r="O282" s="2" t="s">
        <v>473</v>
      </c>
      <c r="P282" s="2" t="s">
        <v>367</v>
      </c>
      <c r="Q282" s="2" t="s">
        <v>23</v>
      </c>
    </row>
    <row r="283" spans="1:17" x14ac:dyDescent="0.25">
      <c r="A283" s="2" t="s">
        <v>767</v>
      </c>
      <c r="B283" s="2" t="s">
        <v>768</v>
      </c>
      <c r="C283" s="5">
        <v>0</v>
      </c>
      <c r="D283" s="3" t="b">
        <f>FALSE()</f>
        <v>0</v>
      </c>
      <c r="E283" s="3" t="b">
        <f>FALSE()</f>
        <v>0</v>
      </c>
      <c r="F283" s="2" t="s">
        <v>767</v>
      </c>
      <c r="G283" s="2" t="s">
        <v>744</v>
      </c>
      <c r="H283" s="2" t="s">
        <v>748</v>
      </c>
      <c r="I283" s="2" t="s">
        <v>487</v>
      </c>
      <c r="J283" s="3" t="b">
        <f>TRUE()</f>
        <v>1</v>
      </c>
      <c r="K283" s="10">
        <v>0</v>
      </c>
      <c r="L283" s="10">
        <v>0</v>
      </c>
      <c r="M283" s="2" t="s">
        <v>23</v>
      </c>
      <c r="N283" s="2" t="s">
        <v>23</v>
      </c>
      <c r="O283" s="2" t="s">
        <v>473</v>
      </c>
      <c r="P283" s="2" t="s">
        <v>367</v>
      </c>
      <c r="Q283" s="2" t="s">
        <v>23</v>
      </c>
    </row>
    <row r="284" spans="1:17" x14ac:dyDescent="0.25">
      <c r="A284" s="2" t="s">
        <v>769</v>
      </c>
      <c r="B284" s="2" t="s">
        <v>770</v>
      </c>
      <c r="C284" s="5">
        <v>2</v>
      </c>
      <c r="D284" s="3" t="b">
        <f>FALSE()</f>
        <v>0</v>
      </c>
      <c r="E284" s="3" t="b">
        <f>FALSE()</f>
        <v>0</v>
      </c>
      <c r="F284" s="2" t="s">
        <v>769</v>
      </c>
      <c r="G284" s="2" t="s">
        <v>744</v>
      </c>
      <c r="H284" s="2" t="s">
        <v>745</v>
      </c>
      <c r="I284" s="2" t="s">
        <v>487</v>
      </c>
      <c r="J284" s="3" t="b">
        <f>TRUE()</f>
        <v>1</v>
      </c>
      <c r="K284" s="10">
        <v>0.79500000000000004</v>
      </c>
      <c r="L284" s="10">
        <v>0</v>
      </c>
      <c r="M284" s="2" t="s">
        <v>23</v>
      </c>
      <c r="N284" s="2" t="s">
        <v>23</v>
      </c>
      <c r="O284" s="2" t="s">
        <v>473</v>
      </c>
      <c r="P284" s="2" t="s">
        <v>367</v>
      </c>
      <c r="Q284" s="2" t="s">
        <v>23</v>
      </c>
    </row>
    <row r="285" spans="1:17" x14ac:dyDescent="0.25">
      <c r="A285" s="2" t="s">
        <v>771</v>
      </c>
      <c r="B285" s="2" t="s">
        <v>772</v>
      </c>
      <c r="C285" s="5">
        <v>2</v>
      </c>
      <c r="D285" s="3" t="b">
        <f>FALSE()</f>
        <v>0</v>
      </c>
      <c r="E285" s="3" t="b">
        <f>FALSE()</f>
        <v>0</v>
      </c>
      <c r="F285" s="2" t="s">
        <v>771</v>
      </c>
      <c r="G285" s="2" t="s">
        <v>744</v>
      </c>
      <c r="H285" s="2" t="s">
        <v>745</v>
      </c>
      <c r="I285" s="2" t="s">
        <v>487</v>
      </c>
      <c r="J285" s="3" t="b">
        <f>TRUE()</f>
        <v>1</v>
      </c>
      <c r="K285" s="10">
        <v>0.60499999999999998</v>
      </c>
      <c r="L285" s="10">
        <v>0</v>
      </c>
      <c r="M285" s="2" t="s">
        <v>23</v>
      </c>
      <c r="N285" s="2" t="s">
        <v>23</v>
      </c>
      <c r="O285" s="2" t="s">
        <v>473</v>
      </c>
      <c r="P285" s="2" t="s">
        <v>367</v>
      </c>
      <c r="Q285" s="2" t="s">
        <v>23</v>
      </c>
    </row>
    <row r="286" spans="1:17" x14ac:dyDescent="0.25">
      <c r="A286" s="2" t="s">
        <v>773</v>
      </c>
      <c r="B286" s="2" t="s">
        <v>774</v>
      </c>
      <c r="C286" s="5">
        <v>1</v>
      </c>
      <c r="D286" s="3" t="b">
        <f>FALSE()</f>
        <v>0</v>
      </c>
      <c r="E286" s="3" t="b">
        <f>FALSE()</f>
        <v>0</v>
      </c>
      <c r="F286" s="2" t="s">
        <v>773</v>
      </c>
      <c r="G286" s="2" t="s">
        <v>744</v>
      </c>
      <c r="H286" s="2" t="s">
        <v>748</v>
      </c>
      <c r="I286" s="2" t="s">
        <v>487</v>
      </c>
      <c r="J286" s="3" t="b">
        <f>TRUE()</f>
        <v>1</v>
      </c>
      <c r="K286" s="10">
        <v>2.92</v>
      </c>
      <c r="L286" s="10">
        <v>0</v>
      </c>
      <c r="M286" s="2" t="s">
        <v>23</v>
      </c>
      <c r="N286" s="2" t="s">
        <v>23</v>
      </c>
      <c r="O286" s="2" t="s">
        <v>24</v>
      </c>
      <c r="P286" s="2" t="s">
        <v>367</v>
      </c>
      <c r="Q286" s="2" t="s">
        <v>23</v>
      </c>
    </row>
    <row r="287" spans="1:17" x14ac:dyDescent="0.25">
      <c r="A287" s="2" t="s">
        <v>775</v>
      </c>
      <c r="B287" s="2" t="s">
        <v>776</v>
      </c>
      <c r="C287" s="5">
        <v>1</v>
      </c>
      <c r="D287" s="3" t="b">
        <f>FALSE()</f>
        <v>0</v>
      </c>
      <c r="E287" s="3" t="b">
        <f>FALSE()</f>
        <v>0</v>
      </c>
      <c r="F287" s="2" t="s">
        <v>775</v>
      </c>
      <c r="G287" s="2" t="s">
        <v>744</v>
      </c>
      <c r="H287" s="2" t="s">
        <v>745</v>
      </c>
      <c r="I287" s="2" t="s">
        <v>487</v>
      </c>
      <c r="J287" s="3" t="b">
        <f>TRUE()</f>
        <v>1</v>
      </c>
      <c r="K287" s="10">
        <v>1.56</v>
      </c>
      <c r="L287" s="10">
        <v>0</v>
      </c>
      <c r="M287" s="2" t="s">
        <v>23</v>
      </c>
      <c r="N287" s="2" t="s">
        <v>23</v>
      </c>
      <c r="O287" s="2" t="s">
        <v>24</v>
      </c>
      <c r="P287" s="2" t="s">
        <v>367</v>
      </c>
      <c r="Q287" s="2" t="s">
        <v>23</v>
      </c>
    </row>
    <row r="288" spans="1:17" x14ac:dyDescent="0.25">
      <c r="A288" s="2" t="s">
        <v>777</v>
      </c>
      <c r="B288" s="2" t="s">
        <v>778</v>
      </c>
      <c r="C288" s="5">
        <v>3</v>
      </c>
      <c r="D288" s="3" t="b">
        <f>FALSE()</f>
        <v>0</v>
      </c>
      <c r="E288" s="3" t="b">
        <f>FALSE()</f>
        <v>0</v>
      </c>
      <c r="F288" s="2" t="s">
        <v>777</v>
      </c>
      <c r="G288" s="2" t="s">
        <v>744</v>
      </c>
      <c r="H288" s="2" t="s">
        <v>745</v>
      </c>
      <c r="I288" s="2" t="s">
        <v>487</v>
      </c>
      <c r="J288" s="3" t="b">
        <f>FALSE()</f>
        <v>0</v>
      </c>
      <c r="K288" s="10">
        <v>1.8049999999999999</v>
      </c>
      <c r="L288" s="10">
        <v>0</v>
      </c>
      <c r="M288" s="2" t="s">
        <v>23</v>
      </c>
      <c r="N288" s="2" t="s">
        <v>23</v>
      </c>
      <c r="O288" s="2" t="s">
        <v>473</v>
      </c>
      <c r="P288" s="2" t="s">
        <v>367</v>
      </c>
      <c r="Q288" s="2" t="s">
        <v>23</v>
      </c>
    </row>
    <row r="289" spans="1:17" x14ac:dyDescent="0.25">
      <c r="A289" s="2" t="s">
        <v>779</v>
      </c>
      <c r="B289" s="2" t="s">
        <v>780</v>
      </c>
      <c r="C289" s="5">
        <v>1</v>
      </c>
      <c r="D289" s="3" t="b">
        <f>FALSE()</f>
        <v>0</v>
      </c>
      <c r="E289" s="3" t="b">
        <f>FALSE()</f>
        <v>0</v>
      </c>
      <c r="F289" s="2" t="s">
        <v>779</v>
      </c>
      <c r="G289" s="2" t="s">
        <v>744</v>
      </c>
      <c r="H289" s="2" t="s">
        <v>748</v>
      </c>
      <c r="I289" s="2" t="s">
        <v>487</v>
      </c>
      <c r="J289" s="3" t="b">
        <f>FALSE()</f>
        <v>0</v>
      </c>
      <c r="K289" s="10">
        <v>3.75</v>
      </c>
      <c r="L289" s="10">
        <v>0</v>
      </c>
      <c r="M289" s="2" t="s">
        <v>23</v>
      </c>
      <c r="N289" s="2" t="s">
        <v>23</v>
      </c>
      <c r="O289" s="2" t="s">
        <v>473</v>
      </c>
      <c r="P289" s="2" t="s">
        <v>367</v>
      </c>
      <c r="Q289" s="2" t="s">
        <v>23</v>
      </c>
    </row>
    <row r="290" spans="1:17" x14ac:dyDescent="0.25">
      <c r="A290" s="2" t="s">
        <v>781</v>
      </c>
      <c r="B290" s="2" t="s">
        <v>782</v>
      </c>
      <c r="C290" s="5">
        <v>0</v>
      </c>
      <c r="D290" s="3" t="b">
        <f>FALSE()</f>
        <v>0</v>
      </c>
      <c r="E290" s="3" t="b">
        <f>FALSE()</f>
        <v>0</v>
      </c>
      <c r="F290" s="2" t="s">
        <v>781</v>
      </c>
      <c r="G290" s="2" t="s">
        <v>744</v>
      </c>
      <c r="H290" s="2" t="s">
        <v>748</v>
      </c>
      <c r="I290" s="2" t="s">
        <v>487</v>
      </c>
      <c r="J290" s="3" t="b">
        <f>FALSE()</f>
        <v>0</v>
      </c>
      <c r="K290" s="10">
        <v>2.66</v>
      </c>
      <c r="L290" s="10">
        <v>0</v>
      </c>
      <c r="M290" s="2" t="s">
        <v>23</v>
      </c>
      <c r="N290" s="2" t="s">
        <v>23</v>
      </c>
      <c r="O290" s="2" t="s">
        <v>473</v>
      </c>
      <c r="P290" s="2" t="s">
        <v>367</v>
      </c>
      <c r="Q290" s="2" t="s">
        <v>23</v>
      </c>
    </row>
    <row r="291" spans="1:17" x14ac:dyDescent="0.25">
      <c r="A291" s="2" t="s">
        <v>783</v>
      </c>
      <c r="B291" s="2" t="s">
        <v>784</v>
      </c>
      <c r="C291" s="5">
        <v>1</v>
      </c>
      <c r="D291" s="3" t="b">
        <f>FALSE()</f>
        <v>0</v>
      </c>
      <c r="E291" s="3" t="b">
        <f>FALSE()</f>
        <v>0</v>
      </c>
      <c r="F291" s="2" t="s">
        <v>783</v>
      </c>
      <c r="G291" s="2" t="s">
        <v>744</v>
      </c>
      <c r="H291" s="2" t="s">
        <v>745</v>
      </c>
      <c r="I291" s="2" t="s">
        <v>487</v>
      </c>
      <c r="J291" s="3" t="b">
        <f>FALSE()</f>
        <v>0</v>
      </c>
      <c r="K291" s="10">
        <v>0.76149999999999995</v>
      </c>
      <c r="L291" s="10">
        <v>0</v>
      </c>
      <c r="M291" s="2" t="s">
        <v>23</v>
      </c>
      <c r="N291" s="2" t="s">
        <v>23</v>
      </c>
      <c r="O291" s="2" t="s">
        <v>473</v>
      </c>
      <c r="P291" s="2" t="s">
        <v>367</v>
      </c>
      <c r="Q291" s="2" t="s">
        <v>23</v>
      </c>
    </row>
    <row r="292" spans="1:17" x14ac:dyDescent="0.25">
      <c r="A292" s="2" t="s">
        <v>785</v>
      </c>
      <c r="B292" s="2" t="s">
        <v>786</v>
      </c>
      <c r="C292" s="5">
        <v>2</v>
      </c>
      <c r="D292" s="3" t="b">
        <f>FALSE()</f>
        <v>0</v>
      </c>
      <c r="E292" s="3" t="b">
        <f>FALSE()</f>
        <v>0</v>
      </c>
      <c r="F292" s="2" t="s">
        <v>785</v>
      </c>
      <c r="G292" s="2" t="s">
        <v>744</v>
      </c>
      <c r="H292" s="2" t="s">
        <v>745</v>
      </c>
      <c r="I292" s="2" t="s">
        <v>487</v>
      </c>
      <c r="J292" s="3" t="b">
        <f>FALSE()</f>
        <v>0</v>
      </c>
      <c r="K292" s="10">
        <v>2.41</v>
      </c>
      <c r="L292" s="10">
        <v>0</v>
      </c>
      <c r="M292" s="2" t="s">
        <v>23</v>
      </c>
      <c r="N292" s="2" t="s">
        <v>23</v>
      </c>
      <c r="O292" s="2" t="s">
        <v>473</v>
      </c>
      <c r="P292" s="2" t="s">
        <v>367</v>
      </c>
      <c r="Q292" s="2" t="s">
        <v>23</v>
      </c>
    </row>
    <row r="293" spans="1:17" x14ac:dyDescent="0.25">
      <c r="A293" s="2" t="s">
        <v>787</v>
      </c>
      <c r="B293" s="2" t="s">
        <v>788</v>
      </c>
      <c r="C293" s="5">
        <v>2</v>
      </c>
      <c r="D293" s="3" t="b">
        <f>FALSE()</f>
        <v>0</v>
      </c>
      <c r="E293" s="3" t="b">
        <f>FALSE()</f>
        <v>0</v>
      </c>
      <c r="F293" s="2" t="s">
        <v>787</v>
      </c>
      <c r="G293" s="2" t="s">
        <v>744</v>
      </c>
      <c r="H293" s="2" t="s">
        <v>748</v>
      </c>
      <c r="I293" s="2" t="s">
        <v>487</v>
      </c>
      <c r="J293" s="3" t="b">
        <f>TRUE()</f>
        <v>1</v>
      </c>
      <c r="K293" s="10">
        <v>1.5449999999999999</v>
      </c>
      <c r="L293" s="10">
        <v>1.545E-2</v>
      </c>
      <c r="M293" s="2" t="s">
        <v>23</v>
      </c>
      <c r="N293" s="2" t="s">
        <v>23</v>
      </c>
      <c r="O293" s="2" t="s">
        <v>473</v>
      </c>
      <c r="P293" s="2" t="s">
        <v>367</v>
      </c>
      <c r="Q293" s="2" t="s">
        <v>23</v>
      </c>
    </row>
    <row r="294" spans="1:17" x14ac:dyDescent="0.25">
      <c r="A294" s="2" t="s">
        <v>789</v>
      </c>
      <c r="B294" s="2" t="s">
        <v>790</v>
      </c>
      <c r="C294" s="5">
        <v>0</v>
      </c>
      <c r="D294" s="3" t="b">
        <f>FALSE()</f>
        <v>0</v>
      </c>
      <c r="E294" s="3" t="b">
        <f>FALSE()</f>
        <v>0</v>
      </c>
      <c r="F294" s="2" t="s">
        <v>791</v>
      </c>
      <c r="G294" s="2" t="s">
        <v>744</v>
      </c>
      <c r="H294" s="2" t="s">
        <v>745</v>
      </c>
      <c r="I294" s="2" t="s">
        <v>487</v>
      </c>
      <c r="J294" s="3" t="b">
        <f>TRUE()</f>
        <v>1</v>
      </c>
      <c r="K294" s="10">
        <v>0</v>
      </c>
      <c r="L294" s="10">
        <v>0</v>
      </c>
      <c r="M294" s="2" t="s">
        <v>23</v>
      </c>
      <c r="N294" s="2" t="s">
        <v>23</v>
      </c>
      <c r="O294" s="2" t="s">
        <v>473</v>
      </c>
      <c r="P294" s="2" t="s">
        <v>367</v>
      </c>
      <c r="Q294" s="2" t="s">
        <v>23</v>
      </c>
    </row>
    <row r="295" spans="1:17" x14ac:dyDescent="0.25">
      <c r="A295" s="2" t="s">
        <v>792</v>
      </c>
      <c r="B295" s="2" t="s">
        <v>793</v>
      </c>
      <c r="C295" s="5">
        <v>1</v>
      </c>
      <c r="D295" s="3" t="b">
        <f>FALSE()</f>
        <v>0</v>
      </c>
      <c r="E295" s="3" t="b">
        <f>FALSE()</f>
        <v>0</v>
      </c>
      <c r="F295" s="2" t="s">
        <v>792</v>
      </c>
      <c r="G295" s="2" t="s">
        <v>744</v>
      </c>
      <c r="H295" s="2" t="s">
        <v>745</v>
      </c>
      <c r="I295" s="2" t="s">
        <v>487</v>
      </c>
      <c r="J295" s="3" t="b">
        <f>TRUE()</f>
        <v>1</v>
      </c>
      <c r="K295" s="10">
        <v>2.09</v>
      </c>
      <c r="L295" s="10">
        <v>0</v>
      </c>
      <c r="M295" s="2" t="s">
        <v>23</v>
      </c>
      <c r="N295" s="2" t="s">
        <v>23</v>
      </c>
      <c r="O295" s="2" t="s">
        <v>473</v>
      </c>
      <c r="P295" s="2" t="s">
        <v>367</v>
      </c>
      <c r="Q295" s="2" t="s">
        <v>23</v>
      </c>
    </row>
    <row r="296" spans="1:17" x14ac:dyDescent="0.25">
      <c r="A296" s="2" t="s">
        <v>794</v>
      </c>
      <c r="B296" s="2" t="s">
        <v>795</v>
      </c>
      <c r="C296" s="5">
        <v>0</v>
      </c>
      <c r="D296" s="3" t="b">
        <f>FALSE()</f>
        <v>0</v>
      </c>
      <c r="E296" s="3" t="b">
        <f>FALSE()</f>
        <v>0</v>
      </c>
      <c r="F296" s="2" t="s">
        <v>794</v>
      </c>
      <c r="G296" s="2" t="s">
        <v>744</v>
      </c>
      <c r="H296" s="2" t="s">
        <v>745</v>
      </c>
      <c r="I296" s="2" t="s">
        <v>487</v>
      </c>
      <c r="J296" s="3" t="b">
        <f>TRUE()</f>
        <v>1</v>
      </c>
      <c r="K296" s="10">
        <v>1.3446499999999999</v>
      </c>
      <c r="L296" s="10">
        <v>1.6</v>
      </c>
      <c r="M296" s="2" t="s">
        <v>23</v>
      </c>
      <c r="N296" s="2" t="s">
        <v>23</v>
      </c>
      <c r="O296" s="2" t="s">
        <v>473</v>
      </c>
      <c r="P296" s="2" t="s">
        <v>367</v>
      </c>
      <c r="Q296" s="2" t="s">
        <v>23</v>
      </c>
    </row>
    <row r="297" spans="1:17" x14ac:dyDescent="0.25">
      <c r="A297" s="2" t="s">
        <v>796</v>
      </c>
      <c r="B297" s="2" t="s">
        <v>797</v>
      </c>
      <c r="C297" s="5">
        <v>1</v>
      </c>
      <c r="D297" s="3" t="b">
        <f>FALSE()</f>
        <v>0</v>
      </c>
      <c r="E297" s="3" t="b">
        <f>FALSE()</f>
        <v>0</v>
      </c>
      <c r="F297" s="2" t="s">
        <v>796</v>
      </c>
      <c r="G297" s="2" t="s">
        <v>744</v>
      </c>
      <c r="H297" s="2" t="s">
        <v>745</v>
      </c>
      <c r="I297" s="2" t="s">
        <v>487</v>
      </c>
      <c r="J297" s="3" t="b">
        <f>TRUE()</f>
        <v>1</v>
      </c>
      <c r="K297" s="10">
        <v>2.57</v>
      </c>
      <c r="L297" s="10">
        <v>0</v>
      </c>
      <c r="M297" s="2" t="s">
        <v>23</v>
      </c>
      <c r="N297" s="2" t="s">
        <v>23</v>
      </c>
      <c r="O297" s="2" t="s">
        <v>473</v>
      </c>
      <c r="P297" s="2" t="s">
        <v>367</v>
      </c>
      <c r="Q297" s="2" t="s">
        <v>23</v>
      </c>
    </row>
    <row r="298" spans="1:17" x14ac:dyDescent="0.25">
      <c r="A298" s="2" t="s">
        <v>798</v>
      </c>
      <c r="B298" s="2" t="s">
        <v>799</v>
      </c>
      <c r="C298" s="5">
        <v>2</v>
      </c>
      <c r="D298" s="3" t="b">
        <f>FALSE()</f>
        <v>0</v>
      </c>
      <c r="E298" s="3" t="b">
        <f>FALSE()</f>
        <v>0</v>
      </c>
      <c r="F298" s="2" t="s">
        <v>798</v>
      </c>
      <c r="G298" s="2" t="s">
        <v>744</v>
      </c>
      <c r="H298" s="2" t="s">
        <v>745</v>
      </c>
      <c r="I298" s="2" t="s">
        <v>487</v>
      </c>
      <c r="J298" s="3" t="b">
        <f>FALSE()</f>
        <v>0</v>
      </c>
      <c r="K298" s="10">
        <v>0</v>
      </c>
      <c r="L298" s="10">
        <v>5.9</v>
      </c>
      <c r="M298" s="2" t="s">
        <v>23</v>
      </c>
      <c r="N298" s="2" t="s">
        <v>23</v>
      </c>
      <c r="O298" s="2" t="s">
        <v>473</v>
      </c>
      <c r="P298" s="2" t="s">
        <v>367</v>
      </c>
      <c r="Q298" s="2" t="s">
        <v>23</v>
      </c>
    </row>
    <row r="299" spans="1:17" x14ac:dyDescent="0.25">
      <c r="A299" s="2" t="s">
        <v>800</v>
      </c>
      <c r="B299" s="2" t="s">
        <v>801</v>
      </c>
      <c r="C299" s="5">
        <v>1</v>
      </c>
      <c r="D299" s="3" t="b">
        <f>FALSE()</f>
        <v>0</v>
      </c>
      <c r="E299" s="3" t="b">
        <f>FALSE()</f>
        <v>0</v>
      </c>
      <c r="F299" s="2" t="s">
        <v>800</v>
      </c>
      <c r="G299" s="2" t="s">
        <v>744</v>
      </c>
      <c r="H299" s="2" t="s">
        <v>745</v>
      </c>
      <c r="I299" s="2" t="s">
        <v>487</v>
      </c>
      <c r="J299" s="3" t="b">
        <f>FALSE()</f>
        <v>0</v>
      </c>
      <c r="K299" s="10">
        <v>0</v>
      </c>
      <c r="L299" s="10">
        <v>2</v>
      </c>
      <c r="M299" s="2" t="s">
        <v>23</v>
      </c>
      <c r="N299" s="2" t="s">
        <v>23</v>
      </c>
      <c r="O299" s="2" t="s">
        <v>473</v>
      </c>
      <c r="P299" s="2" t="s">
        <v>367</v>
      </c>
      <c r="Q299" s="2" t="s">
        <v>23</v>
      </c>
    </row>
    <row r="300" spans="1:17" x14ac:dyDescent="0.25">
      <c r="A300" s="2" t="s">
        <v>802</v>
      </c>
      <c r="B300" s="2" t="s">
        <v>803</v>
      </c>
      <c r="C300" s="5">
        <v>1</v>
      </c>
      <c r="D300" s="3" t="b">
        <f>FALSE()</f>
        <v>0</v>
      </c>
      <c r="E300" s="3" t="b">
        <f>FALSE()</f>
        <v>0</v>
      </c>
      <c r="F300" s="2" t="s">
        <v>802</v>
      </c>
      <c r="G300" s="2" t="s">
        <v>744</v>
      </c>
      <c r="H300" s="2" t="s">
        <v>745</v>
      </c>
      <c r="I300" s="2" t="s">
        <v>487</v>
      </c>
      <c r="J300" s="3" t="b">
        <f>FALSE()</f>
        <v>0</v>
      </c>
      <c r="K300" s="10">
        <v>0</v>
      </c>
      <c r="L300" s="10">
        <v>5.9</v>
      </c>
      <c r="M300" s="2" t="s">
        <v>23</v>
      </c>
      <c r="N300" s="2" t="s">
        <v>23</v>
      </c>
      <c r="O300" s="2" t="s">
        <v>473</v>
      </c>
      <c r="P300" s="2" t="s">
        <v>367</v>
      </c>
      <c r="Q300" s="2" t="s">
        <v>23</v>
      </c>
    </row>
    <row r="301" spans="1:17" x14ac:dyDescent="0.25">
      <c r="A301" s="2" t="s">
        <v>804</v>
      </c>
      <c r="B301" s="2" t="s">
        <v>805</v>
      </c>
      <c r="C301" s="5">
        <v>704</v>
      </c>
      <c r="D301" s="3" t="b">
        <f>FALSE()</f>
        <v>0</v>
      </c>
      <c r="E301" s="3" t="b">
        <f>FALSE()</f>
        <v>0</v>
      </c>
      <c r="F301" s="2" t="s">
        <v>804</v>
      </c>
      <c r="G301" s="2" t="s">
        <v>744</v>
      </c>
      <c r="H301" s="2" t="s">
        <v>745</v>
      </c>
      <c r="I301" s="2" t="s">
        <v>487</v>
      </c>
      <c r="J301" s="3" t="b">
        <f>FALSE()</f>
        <v>0</v>
      </c>
      <c r="K301" s="10">
        <v>0.23</v>
      </c>
      <c r="L301" s="10">
        <v>2.2200000000000002</v>
      </c>
      <c r="M301" s="2" t="s">
        <v>23</v>
      </c>
      <c r="N301" s="2" t="s">
        <v>23</v>
      </c>
      <c r="O301" s="2" t="s">
        <v>473</v>
      </c>
      <c r="P301" s="2" t="s">
        <v>367</v>
      </c>
      <c r="Q301" s="2" t="s">
        <v>23</v>
      </c>
    </row>
    <row r="302" spans="1:17" x14ac:dyDescent="0.25">
      <c r="A302" s="2" t="s">
        <v>806</v>
      </c>
      <c r="B302" s="2" t="s">
        <v>807</v>
      </c>
      <c r="C302" s="5">
        <v>2</v>
      </c>
      <c r="D302" s="3" t="b">
        <f>FALSE()</f>
        <v>0</v>
      </c>
      <c r="E302" s="3" t="b">
        <f>FALSE()</f>
        <v>0</v>
      </c>
      <c r="F302" s="2" t="s">
        <v>806</v>
      </c>
      <c r="G302" s="2" t="s">
        <v>744</v>
      </c>
      <c r="H302" s="2" t="s">
        <v>745</v>
      </c>
      <c r="I302" s="2" t="s">
        <v>487</v>
      </c>
      <c r="J302" s="3" t="b">
        <f>FALSE()</f>
        <v>0</v>
      </c>
      <c r="K302" s="10">
        <v>0</v>
      </c>
      <c r="L302" s="10">
        <v>0</v>
      </c>
      <c r="M302" s="2" t="s">
        <v>23</v>
      </c>
      <c r="N302" s="2" t="s">
        <v>23</v>
      </c>
      <c r="O302" s="2" t="s">
        <v>473</v>
      </c>
      <c r="P302" s="2" t="s">
        <v>367</v>
      </c>
      <c r="Q302" s="2" t="s">
        <v>23</v>
      </c>
    </row>
    <row r="303" spans="1:17" x14ac:dyDescent="0.25">
      <c r="A303" s="2" t="s">
        <v>808</v>
      </c>
      <c r="B303" s="2" t="s">
        <v>809</v>
      </c>
      <c r="C303" s="5">
        <v>1</v>
      </c>
      <c r="D303" s="3" t="b">
        <f>FALSE()</f>
        <v>0</v>
      </c>
      <c r="E303" s="3" t="b">
        <f>FALSE()</f>
        <v>0</v>
      </c>
      <c r="F303" s="2" t="s">
        <v>808</v>
      </c>
      <c r="G303" s="2" t="s">
        <v>744</v>
      </c>
      <c r="H303" s="2" t="s">
        <v>745</v>
      </c>
      <c r="I303" s="2" t="s">
        <v>487</v>
      </c>
      <c r="J303" s="3" t="b">
        <f>TRUE()</f>
        <v>1</v>
      </c>
      <c r="K303" s="10">
        <v>0.36</v>
      </c>
      <c r="L303" s="10">
        <v>0</v>
      </c>
      <c r="M303" s="2" t="s">
        <v>23</v>
      </c>
      <c r="N303" s="2" t="s">
        <v>23</v>
      </c>
      <c r="O303" s="2" t="s">
        <v>473</v>
      </c>
      <c r="P303" s="2" t="s">
        <v>367</v>
      </c>
      <c r="Q303" s="2" t="s">
        <v>23</v>
      </c>
    </row>
    <row r="304" spans="1:17" x14ac:dyDescent="0.25">
      <c r="A304" s="2" t="s">
        <v>810</v>
      </c>
      <c r="B304" s="2" t="s">
        <v>811</v>
      </c>
      <c r="C304" s="5">
        <v>1</v>
      </c>
      <c r="D304" s="3" t="b">
        <f>FALSE()</f>
        <v>0</v>
      </c>
      <c r="E304" s="3" t="b">
        <f>FALSE()</f>
        <v>0</v>
      </c>
      <c r="F304" s="2" t="s">
        <v>810</v>
      </c>
      <c r="G304" s="2" t="s">
        <v>744</v>
      </c>
      <c r="H304" s="2" t="s">
        <v>745</v>
      </c>
      <c r="I304" s="2" t="s">
        <v>487</v>
      </c>
      <c r="J304" s="3" t="b">
        <f>FALSE()</f>
        <v>0</v>
      </c>
      <c r="K304" s="10">
        <v>0</v>
      </c>
      <c r="L304" s="10">
        <v>0</v>
      </c>
      <c r="M304" s="2" t="s">
        <v>23</v>
      </c>
      <c r="N304" s="2" t="s">
        <v>23</v>
      </c>
      <c r="O304" s="2" t="s">
        <v>473</v>
      </c>
      <c r="P304" s="2" t="s">
        <v>367</v>
      </c>
      <c r="Q304" s="2" t="s">
        <v>23</v>
      </c>
    </row>
    <row r="305" spans="1:17" x14ac:dyDescent="0.25">
      <c r="A305" s="2" t="s">
        <v>812</v>
      </c>
      <c r="B305" s="2" t="s">
        <v>813</v>
      </c>
      <c r="C305" s="5">
        <v>1</v>
      </c>
      <c r="D305" s="3" t="b">
        <f>FALSE()</f>
        <v>0</v>
      </c>
      <c r="E305" s="3" t="b">
        <f>FALSE()</f>
        <v>0</v>
      </c>
      <c r="F305" s="2" t="s">
        <v>812</v>
      </c>
      <c r="G305" s="2" t="s">
        <v>744</v>
      </c>
      <c r="H305" s="2" t="s">
        <v>745</v>
      </c>
      <c r="I305" s="2" t="s">
        <v>487</v>
      </c>
      <c r="J305" s="3" t="b">
        <f>FALSE()</f>
        <v>0</v>
      </c>
      <c r="K305" s="10">
        <v>0</v>
      </c>
      <c r="L305" s="10">
        <v>2.2400000000000002</v>
      </c>
      <c r="M305" s="2" t="s">
        <v>23</v>
      </c>
      <c r="N305" s="2" t="s">
        <v>23</v>
      </c>
      <c r="O305" s="2" t="s">
        <v>473</v>
      </c>
      <c r="P305" s="2" t="s">
        <v>367</v>
      </c>
      <c r="Q305" s="2" t="s">
        <v>23</v>
      </c>
    </row>
    <row r="306" spans="1:17" x14ac:dyDescent="0.25">
      <c r="A306" s="2" t="s">
        <v>814</v>
      </c>
      <c r="B306" s="2" t="s">
        <v>23</v>
      </c>
      <c r="C306" s="5">
        <v>0</v>
      </c>
      <c r="D306" s="3" t="b">
        <f>FALSE()</f>
        <v>0</v>
      </c>
      <c r="E306" s="3" t="b">
        <f>FALSE()</f>
        <v>0</v>
      </c>
      <c r="F306" s="2" t="s">
        <v>23</v>
      </c>
      <c r="G306" s="2" t="s">
        <v>744</v>
      </c>
      <c r="H306" s="2" t="s">
        <v>23</v>
      </c>
      <c r="I306" s="2" t="s">
        <v>487</v>
      </c>
      <c r="J306" s="3" t="b">
        <f>TRUE()</f>
        <v>1</v>
      </c>
      <c r="K306" s="10">
        <v>0</v>
      </c>
      <c r="L306" s="10">
        <v>0</v>
      </c>
      <c r="M306" s="2" t="s">
        <v>23</v>
      </c>
      <c r="N306" s="2" t="s">
        <v>23</v>
      </c>
      <c r="O306" s="2" t="s">
        <v>473</v>
      </c>
      <c r="P306" s="2" t="s">
        <v>367</v>
      </c>
      <c r="Q306" s="2" t="s">
        <v>23</v>
      </c>
    </row>
    <row r="307" spans="1:17" x14ac:dyDescent="0.25">
      <c r="A307" s="2" t="s">
        <v>815</v>
      </c>
      <c r="B307" s="2" t="s">
        <v>816</v>
      </c>
      <c r="C307" s="5">
        <v>1</v>
      </c>
      <c r="D307" s="3" t="b">
        <f>FALSE()</f>
        <v>0</v>
      </c>
      <c r="E307" s="3" t="b">
        <f>FALSE()</f>
        <v>0</v>
      </c>
      <c r="F307" s="2" t="s">
        <v>815</v>
      </c>
      <c r="G307" s="2" t="s">
        <v>744</v>
      </c>
      <c r="H307" s="2" t="s">
        <v>745</v>
      </c>
      <c r="I307" s="2" t="s">
        <v>487</v>
      </c>
      <c r="J307" s="3" t="b">
        <f>FALSE()</f>
        <v>0</v>
      </c>
      <c r="K307" s="10">
        <v>0</v>
      </c>
      <c r="L307" s="10">
        <v>0</v>
      </c>
      <c r="M307" s="2" t="s">
        <v>23</v>
      </c>
      <c r="N307" s="2" t="s">
        <v>23</v>
      </c>
      <c r="O307" s="2" t="s">
        <v>473</v>
      </c>
      <c r="P307" s="2" t="s">
        <v>367</v>
      </c>
      <c r="Q307" s="2" t="s">
        <v>23</v>
      </c>
    </row>
    <row r="308" spans="1:17" x14ac:dyDescent="0.25">
      <c r="A308" s="2" t="s">
        <v>817</v>
      </c>
      <c r="B308" s="2" t="s">
        <v>818</v>
      </c>
      <c r="C308" s="5">
        <v>0</v>
      </c>
      <c r="D308" s="3" t="b">
        <f>FALSE()</f>
        <v>0</v>
      </c>
      <c r="E308" s="3" t="b">
        <f>FALSE()</f>
        <v>0</v>
      </c>
      <c r="F308" s="2" t="s">
        <v>817</v>
      </c>
      <c r="G308" s="2" t="s">
        <v>744</v>
      </c>
      <c r="H308" s="2" t="s">
        <v>745</v>
      </c>
      <c r="I308" s="2" t="s">
        <v>487</v>
      </c>
      <c r="J308" s="3" t="b">
        <f>TRUE()</f>
        <v>1</v>
      </c>
      <c r="K308" s="10">
        <v>0</v>
      </c>
      <c r="L308" s="10">
        <v>0</v>
      </c>
      <c r="M308" s="2" t="s">
        <v>23</v>
      </c>
      <c r="N308" s="2" t="s">
        <v>23</v>
      </c>
      <c r="O308" s="2" t="s">
        <v>473</v>
      </c>
      <c r="P308" s="2" t="s">
        <v>367</v>
      </c>
      <c r="Q308" s="2" t="s">
        <v>23</v>
      </c>
    </row>
    <row r="309" spans="1:17" x14ac:dyDescent="0.25">
      <c r="A309" s="2" t="s">
        <v>819</v>
      </c>
      <c r="B309" s="2" t="s">
        <v>820</v>
      </c>
      <c r="C309" s="5">
        <v>0</v>
      </c>
      <c r="D309" s="3" t="b">
        <f>FALSE()</f>
        <v>0</v>
      </c>
      <c r="E309" s="3" t="b">
        <f>FALSE()</f>
        <v>0</v>
      </c>
      <c r="F309" s="2" t="s">
        <v>819</v>
      </c>
      <c r="G309" s="2" t="s">
        <v>744</v>
      </c>
      <c r="H309" s="2" t="s">
        <v>745</v>
      </c>
      <c r="I309" s="2" t="s">
        <v>487</v>
      </c>
      <c r="J309" s="3" t="b">
        <f>TRUE()</f>
        <v>1</v>
      </c>
      <c r="K309" s="10">
        <v>0</v>
      </c>
      <c r="L309" s="10">
        <v>0</v>
      </c>
      <c r="M309" s="2" t="s">
        <v>23</v>
      </c>
      <c r="N309" s="2" t="s">
        <v>23</v>
      </c>
      <c r="O309" s="2" t="s">
        <v>473</v>
      </c>
      <c r="P309" s="2" t="s">
        <v>367</v>
      </c>
      <c r="Q309" s="2" t="s">
        <v>23</v>
      </c>
    </row>
    <row r="310" spans="1:17" x14ac:dyDescent="0.25">
      <c r="A310" s="2" t="s">
        <v>821</v>
      </c>
      <c r="B310" s="2" t="s">
        <v>822</v>
      </c>
      <c r="C310" s="5">
        <v>1</v>
      </c>
      <c r="D310" s="3" t="b">
        <f>FALSE()</f>
        <v>0</v>
      </c>
      <c r="E310" s="3" t="b">
        <f>FALSE()</f>
        <v>0</v>
      </c>
      <c r="F310" s="2" t="s">
        <v>821</v>
      </c>
      <c r="G310" s="2" t="s">
        <v>744</v>
      </c>
      <c r="H310" s="2" t="s">
        <v>745</v>
      </c>
      <c r="I310" s="2" t="s">
        <v>487</v>
      </c>
      <c r="J310" s="3" t="b">
        <f>FALSE()</f>
        <v>0</v>
      </c>
      <c r="K310" s="10">
        <v>0</v>
      </c>
      <c r="L310" s="10">
        <v>0</v>
      </c>
      <c r="M310" s="2" t="s">
        <v>23</v>
      </c>
      <c r="N310" s="2" t="s">
        <v>23</v>
      </c>
      <c r="O310" s="2" t="s">
        <v>473</v>
      </c>
      <c r="P310" s="2" t="s">
        <v>367</v>
      </c>
      <c r="Q310" s="2" t="s">
        <v>23</v>
      </c>
    </row>
    <row r="311" spans="1:17" x14ac:dyDescent="0.25">
      <c r="A311" s="2" t="s">
        <v>823</v>
      </c>
      <c r="B311" s="2" t="s">
        <v>824</v>
      </c>
      <c r="C311" s="5">
        <v>0</v>
      </c>
      <c r="D311" s="3" t="b">
        <f>FALSE()</f>
        <v>0</v>
      </c>
      <c r="E311" s="3" t="b">
        <f>FALSE()</f>
        <v>0</v>
      </c>
      <c r="F311" s="2" t="s">
        <v>823</v>
      </c>
      <c r="G311" s="2" t="s">
        <v>744</v>
      </c>
      <c r="H311" s="2" t="s">
        <v>745</v>
      </c>
      <c r="I311" s="2" t="s">
        <v>487</v>
      </c>
      <c r="J311" s="3" t="b">
        <f>TRUE()</f>
        <v>1</v>
      </c>
      <c r="K311" s="10">
        <v>0</v>
      </c>
      <c r="L311" s="10">
        <v>0</v>
      </c>
      <c r="M311" s="2" t="s">
        <v>23</v>
      </c>
      <c r="N311" s="2" t="s">
        <v>23</v>
      </c>
      <c r="O311" s="2" t="s">
        <v>473</v>
      </c>
      <c r="P311" s="2" t="s">
        <v>367</v>
      </c>
      <c r="Q311" s="2" t="s">
        <v>23</v>
      </c>
    </row>
    <row r="312" spans="1:17" x14ac:dyDescent="0.25">
      <c r="A312" s="2" t="s">
        <v>825</v>
      </c>
      <c r="B312" s="2" t="s">
        <v>826</v>
      </c>
      <c r="C312" s="5">
        <v>0</v>
      </c>
      <c r="D312" s="3" t="b">
        <f>FALSE()</f>
        <v>0</v>
      </c>
      <c r="E312" s="3" t="b">
        <f>FALSE()</f>
        <v>0</v>
      </c>
      <c r="F312" s="2" t="s">
        <v>825</v>
      </c>
      <c r="G312" s="2" t="s">
        <v>744</v>
      </c>
      <c r="H312" s="2" t="s">
        <v>745</v>
      </c>
      <c r="I312" s="2" t="s">
        <v>487</v>
      </c>
      <c r="J312" s="3" t="b">
        <f>FALSE()</f>
        <v>0</v>
      </c>
      <c r="K312" s="10">
        <v>0</v>
      </c>
      <c r="L312" s="10">
        <v>0</v>
      </c>
      <c r="M312" s="2" t="s">
        <v>23</v>
      </c>
      <c r="N312" s="2" t="s">
        <v>23</v>
      </c>
      <c r="O312" s="2" t="s">
        <v>473</v>
      </c>
      <c r="P312" s="2" t="s">
        <v>367</v>
      </c>
      <c r="Q312" s="2" t="s">
        <v>23</v>
      </c>
    </row>
    <row r="313" spans="1:17" x14ac:dyDescent="0.25">
      <c r="A313" s="2" t="s">
        <v>827</v>
      </c>
      <c r="B313" s="2" t="s">
        <v>828</v>
      </c>
      <c r="C313" s="5">
        <v>1</v>
      </c>
      <c r="D313" s="3" t="b">
        <f>FALSE()</f>
        <v>0</v>
      </c>
      <c r="E313" s="3" t="b">
        <f>FALSE()</f>
        <v>0</v>
      </c>
      <c r="F313" s="2" t="s">
        <v>827</v>
      </c>
      <c r="G313" s="2" t="s">
        <v>744</v>
      </c>
      <c r="H313" s="2" t="s">
        <v>745</v>
      </c>
      <c r="I313" s="2" t="s">
        <v>487</v>
      </c>
      <c r="J313" s="3" t="b">
        <f>FALSE()</f>
        <v>0</v>
      </c>
      <c r="K313" s="10">
        <v>0</v>
      </c>
      <c r="L313" s="10">
        <v>0</v>
      </c>
      <c r="M313" s="2" t="s">
        <v>23</v>
      </c>
      <c r="N313" s="2" t="s">
        <v>23</v>
      </c>
      <c r="O313" s="2" t="s">
        <v>473</v>
      </c>
      <c r="P313" s="2" t="s">
        <v>367</v>
      </c>
      <c r="Q313" s="2" t="s">
        <v>23</v>
      </c>
    </row>
    <row r="314" spans="1:17" x14ac:dyDescent="0.25">
      <c r="A314" s="2" t="s">
        <v>829</v>
      </c>
      <c r="B314" s="2" t="s">
        <v>830</v>
      </c>
      <c r="C314" s="5">
        <v>0</v>
      </c>
      <c r="D314" s="3" t="b">
        <f>FALSE()</f>
        <v>0</v>
      </c>
      <c r="E314" s="3" t="b">
        <f>FALSE()</f>
        <v>0</v>
      </c>
      <c r="F314" s="2" t="s">
        <v>829</v>
      </c>
      <c r="G314" s="2" t="s">
        <v>744</v>
      </c>
      <c r="H314" s="2" t="s">
        <v>745</v>
      </c>
      <c r="I314" s="2" t="s">
        <v>487</v>
      </c>
      <c r="J314" s="3" t="b">
        <f>TRUE()</f>
        <v>1</v>
      </c>
      <c r="K314" s="10">
        <v>0</v>
      </c>
      <c r="L314" s="10">
        <v>0</v>
      </c>
      <c r="M314" s="2" t="s">
        <v>23</v>
      </c>
      <c r="N314" s="2" t="s">
        <v>23</v>
      </c>
      <c r="O314" s="2" t="s">
        <v>473</v>
      </c>
      <c r="P314" s="2" t="s">
        <v>367</v>
      </c>
      <c r="Q314" s="2" t="s">
        <v>23</v>
      </c>
    </row>
    <row r="315" spans="1:17" x14ac:dyDescent="0.25">
      <c r="A315" s="2" t="s">
        <v>831</v>
      </c>
      <c r="B315" s="2" t="s">
        <v>832</v>
      </c>
      <c r="C315" s="5">
        <v>0</v>
      </c>
      <c r="D315" s="3" t="b">
        <f>FALSE()</f>
        <v>0</v>
      </c>
      <c r="E315" s="3" t="b">
        <f>FALSE()</f>
        <v>0</v>
      </c>
      <c r="F315" s="2" t="s">
        <v>831</v>
      </c>
      <c r="G315" s="2" t="s">
        <v>744</v>
      </c>
      <c r="H315" s="2" t="s">
        <v>745</v>
      </c>
      <c r="I315" s="2" t="s">
        <v>487</v>
      </c>
      <c r="J315" s="3" t="b">
        <f>TRUE()</f>
        <v>1</v>
      </c>
      <c r="K315" s="10">
        <v>0</v>
      </c>
      <c r="L315" s="10">
        <v>0</v>
      </c>
      <c r="M315" s="2" t="s">
        <v>23</v>
      </c>
      <c r="N315" s="2" t="s">
        <v>23</v>
      </c>
      <c r="O315" s="2" t="s">
        <v>473</v>
      </c>
      <c r="P315" s="2" t="s">
        <v>367</v>
      </c>
      <c r="Q315" s="2" t="s">
        <v>23</v>
      </c>
    </row>
    <row r="316" spans="1:17" x14ac:dyDescent="0.25">
      <c r="A316" s="2" t="s">
        <v>833</v>
      </c>
      <c r="B316" s="2" t="s">
        <v>834</v>
      </c>
      <c r="C316" s="5">
        <v>0</v>
      </c>
      <c r="D316" s="3" t="b">
        <f>FALSE()</f>
        <v>0</v>
      </c>
      <c r="E316" s="3" t="b">
        <f>FALSE()</f>
        <v>0</v>
      </c>
      <c r="F316" s="2" t="s">
        <v>833</v>
      </c>
      <c r="G316" s="2" t="s">
        <v>744</v>
      </c>
      <c r="H316" s="2" t="s">
        <v>835</v>
      </c>
      <c r="I316" s="2" t="s">
        <v>487</v>
      </c>
      <c r="J316" s="3" t="b">
        <f>FALSE()</f>
        <v>0</v>
      </c>
      <c r="K316" s="10">
        <v>0</v>
      </c>
      <c r="L316" s="10">
        <v>0</v>
      </c>
      <c r="M316" s="2" t="s">
        <v>23</v>
      </c>
      <c r="N316" s="2" t="s">
        <v>23</v>
      </c>
      <c r="O316" s="2" t="s">
        <v>473</v>
      </c>
      <c r="P316" s="2" t="s">
        <v>367</v>
      </c>
      <c r="Q316" s="2" t="s">
        <v>23</v>
      </c>
    </row>
    <row r="317" spans="1:17" x14ac:dyDescent="0.25">
      <c r="A317" s="2" t="s">
        <v>836</v>
      </c>
      <c r="B317" s="2" t="s">
        <v>837</v>
      </c>
      <c r="C317" s="5">
        <v>0</v>
      </c>
      <c r="D317" s="3" t="b">
        <f>FALSE()</f>
        <v>0</v>
      </c>
      <c r="E317" s="3" t="b">
        <f>FALSE()</f>
        <v>0</v>
      </c>
      <c r="F317" s="2" t="s">
        <v>836</v>
      </c>
      <c r="G317" s="2" t="s">
        <v>744</v>
      </c>
      <c r="H317" s="2" t="s">
        <v>835</v>
      </c>
      <c r="I317" s="2" t="s">
        <v>487</v>
      </c>
      <c r="J317" s="3" t="b">
        <f>TRUE()</f>
        <v>1</v>
      </c>
      <c r="K317" s="10">
        <v>0</v>
      </c>
      <c r="L317" s="10">
        <v>0</v>
      </c>
      <c r="M317" s="2" t="s">
        <v>23</v>
      </c>
      <c r="N317" s="2" t="s">
        <v>23</v>
      </c>
      <c r="O317" s="2" t="s">
        <v>473</v>
      </c>
      <c r="P317" s="2" t="s">
        <v>367</v>
      </c>
      <c r="Q317" s="2" t="s">
        <v>23</v>
      </c>
    </row>
    <row r="318" spans="1:17" x14ac:dyDescent="0.25">
      <c r="A318" s="2" t="s">
        <v>838</v>
      </c>
      <c r="B318" s="2" t="s">
        <v>839</v>
      </c>
      <c r="C318" s="5">
        <v>0</v>
      </c>
      <c r="D318" s="3" t="b">
        <f>FALSE()</f>
        <v>0</v>
      </c>
      <c r="E318" s="3" t="b">
        <f>FALSE()</f>
        <v>0</v>
      </c>
      <c r="F318" s="2" t="s">
        <v>838</v>
      </c>
      <c r="G318" s="2" t="s">
        <v>744</v>
      </c>
      <c r="H318" s="2" t="s">
        <v>835</v>
      </c>
      <c r="I318" s="2" t="s">
        <v>487</v>
      </c>
      <c r="J318" s="3" t="b">
        <f>TRUE()</f>
        <v>1</v>
      </c>
      <c r="K318" s="10">
        <v>0</v>
      </c>
      <c r="L318" s="10">
        <v>0</v>
      </c>
      <c r="M318" s="2" t="s">
        <v>23</v>
      </c>
      <c r="N318" s="2" t="s">
        <v>23</v>
      </c>
      <c r="O318" s="2" t="s">
        <v>473</v>
      </c>
      <c r="P318" s="2" t="s">
        <v>367</v>
      </c>
      <c r="Q318" s="2" t="s">
        <v>23</v>
      </c>
    </row>
    <row r="319" spans="1:17" x14ac:dyDescent="0.25">
      <c r="A319" s="2" t="s">
        <v>840</v>
      </c>
      <c r="B319" s="2" t="s">
        <v>841</v>
      </c>
      <c r="C319" s="5">
        <v>0</v>
      </c>
      <c r="D319" s="3" t="b">
        <f>FALSE()</f>
        <v>0</v>
      </c>
      <c r="E319" s="3" t="b">
        <f>FALSE()</f>
        <v>0</v>
      </c>
      <c r="F319" s="2" t="s">
        <v>840</v>
      </c>
      <c r="G319" s="2" t="s">
        <v>744</v>
      </c>
      <c r="H319" s="2" t="s">
        <v>835</v>
      </c>
      <c r="I319" s="2" t="s">
        <v>487</v>
      </c>
      <c r="J319" s="3" t="b">
        <f>FALSE()</f>
        <v>0</v>
      </c>
      <c r="K319" s="10">
        <v>0</v>
      </c>
      <c r="L319" s="10">
        <v>0</v>
      </c>
      <c r="M319" s="2" t="s">
        <v>23</v>
      </c>
      <c r="N319" s="2" t="s">
        <v>23</v>
      </c>
      <c r="O319" s="2" t="s">
        <v>473</v>
      </c>
      <c r="P319" s="2" t="s">
        <v>367</v>
      </c>
      <c r="Q319" s="2" t="s">
        <v>23</v>
      </c>
    </row>
    <row r="320" spans="1:17" x14ac:dyDescent="0.25">
      <c r="A320" s="2" t="s">
        <v>842</v>
      </c>
      <c r="B320" s="2" t="s">
        <v>843</v>
      </c>
      <c r="C320" s="5">
        <v>0</v>
      </c>
      <c r="D320" s="3" t="b">
        <f>FALSE()</f>
        <v>0</v>
      </c>
      <c r="E320" s="3" t="b">
        <f>FALSE()</f>
        <v>0</v>
      </c>
      <c r="F320" s="2" t="s">
        <v>842</v>
      </c>
      <c r="G320" s="2" t="s">
        <v>744</v>
      </c>
      <c r="H320" s="2" t="s">
        <v>835</v>
      </c>
      <c r="I320" s="2" t="s">
        <v>487</v>
      </c>
      <c r="J320" s="3" t="b">
        <f>TRUE()</f>
        <v>1</v>
      </c>
      <c r="K320" s="10">
        <v>0</v>
      </c>
      <c r="L320" s="10">
        <v>0</v>
      </c>
      <c r="M320" s="2" t="s">
        <v>23</v>
      </c>
      <c r="N320" s="2" t="s">
        <v>23</v>
      </c>
      <c r="O320" s="2" t="s">
        <v>473</v>
      </c>
      <c r="P320" s="2" t="s">
        <v>367</v>
      </c>
      <c r="Q320" s="2" t="s">
        <v>23</v>
      </c>
    </row>
    <row r="321" spans="1:17" x14ac:dyDescent="0.25">
      <c r="A321" s="2" t="s">
        <v>844</v>
      </c>
      <c r="B321" s="2" t="s">
        <v>845</v>
      </c>
      <c r="C321" s="5">
        <v>1</v>
      </c>
      <c r="D321" s="3" t="b">
        <f>FALSE()</f>
        <v>0</v>
      </c>
      <c r="E321" s="3" t="b">
        <f>FALSE()</f>
        <v>0</v>
      </c>
      <c r="F321" s="2" t="s">
        <v>844</v>
      </c>
      <c r="G321" s="2" t="s">
        <v>744</v>
      </c>
      <c r="H321" s="2" t="s">
        <v>835</v>
      </c>
      <c r="I321" s="2" t="s">
        <v>487</v>
      </c>
      <c r="J321" s="3" t="b">
        <f>FALSE()</f>
        <v>0</v>
      </c>
      <c r="K321" s="10">
        <v>0</v>
      </c>
      <c r="L321" s="10">
        <v>0</v>
      </c>
      <c r="M321" s="2" t="s">
        <v>23</v>
      </c>
      <c r="N321" s="2" t="s">
        <v>23</v>
      </c>
      <c r="O321" s="2" t="s">
        <v>473</v>
      </c>
      <c r="P321" s="2" t="s">
        <v>367</v>
      </c>
      <c r="Q321" s="2" t="s">
        <v>23</v>
      </c>
    </row>
    <row r="322" spans="1:17" x14ac:dyDescent="0.25">
      <c r="A322" s="2" t="s">
        <v>846</v>
      </c>
      <c r="B322" s="2" t="s">
        <v>847</v>
      </c>
      <c r="C322" s="5">
        <v>0</v>
      </c>
      <c r="D322" s="3" t="b">
        <f>FALSE()</f>
        <v>0</v>
      </c>
      <c r="E322" s="3" t="b">
        <f>FALSE()</f>
        <v>0</v>
      </c>
      <c r="F322" s="2" t="s">
        <v>846</v>
      </c>
      <c r="G322" s="2" t="s">
        <v>744</v>
      </c>
      <c r="H322" s="2" t="s">
        <v>835</v>
      </c>
      <c r="I322" s="2" t="s">
        <v>487</v>
      </c>
      <c r="J322" s="3" t="b">
        <f>TRUE()</f>
        <v>1</v>
      </c>
      <c r="K322" s="10">
        <v>0</v>
      </c>
      <c r="L322" s="10">
        <v>0</v>
      </c>
      <c r="M322" s="2" t="s">
        <v>23</v>
      </c>
      <c r="N322" s="2" t="s">
        <v>23</v>
      </c>
      <c r="O322" s="2" t="s">
        <v>473</v>
      </c>
      <c r="P322" s="2" t="s">
        <v>367</v>
      </c>
      <c r="Q322" s="2" t="s">
        <v>23</v>
      </c>
    </row>
    <row r="323" spans="1:17" x14ac:dyDescent="0.25">
      <c r="A323" s="2" t="s">
        <v>848</v>
      </c>
      <c r="B323" s="2" t="s">
        <v>849</v>
      </c>
      <c r="C323" s="5">
        <v>0</v>
      </c>
      <c r="D323" s="3" t="b">
        <f>FALSE()</f>
        <v>0</v>
      </c>
      <c r="E323" s="3" t="b">
        <f>FALSE()</f>
        <v>0</v>
      </c>
      <c r="F323" s="2" t="s">
        <v>848</v>
      </c>
      <c r="G323" s="2" t="s">
        <v>744</v>
      </c>
      <c r="H323" s="2" t="s">
        <v>835</v>
      </c>
      <c r="I323" s="2" t="s">
        <v>487</v>
      </c>
      <c r="J323" s="3" t="b">
        <f>FALSE()</f>
        <v>0</v>
      </c>
      <c r="K323" s="10">
        <v>0</v>
      </c>
      <c r="L323" s="10">
        <v>0</v>
      </c>
      <c r="M323" s="2" t="s">
        <v>23</v>
      </c>
      <c r="N323" s="2" t="s">
        <v>23</v>
      </c>
      <c r="O323" s="2" t="s">
        <v>473</v>
      </c>
      <c r="P323" s="2" t="s">
        <v>367</v>
      </c>
      <c r="Q323" s="2" t="s">
        <v>23</v>
      </c>
    </row>
    <row r="324" spans="1:17" x14ac:dyDescent="0.25">
      <c r="A324" s="2" t="s">
        <v>850</v>
      </c>
      <c r="B324" s="2" t="s">
        <v>851</v>
      </c>
      <c r="C324" s="5">
        <v>0</v>
      </c>
      <c r="D324" s="3" t="b">
        <f>FALSE()</f>
        <v>0</v>
      </c>
      <c r="E324" s="3" t="b">
        <f>FALSE()</f>
        <v>0</v>
      </c>
      <c r="F324" s="2" t="s">
        <v>850</v>
      </c>
      <c r="G324" s="2" t="s">
        <v>744</v>
      </c>
      <c r="H324" s="2" t="s">
        <v>835</v>
      </c>
      <c r="I324" s="2" t="s">
        <v>487</v>
      </c>
      <c r="J324" s="3" t="b">
        <f>TRUE()</f>
        <v>1</v>
      </c>
      <c r="K324" s="10">
        <v>0</v>
      </c>
      <c r="L324" s="10">
        <v>0</v>
      </c>
      <c r="M324" s="2" t="s">
        <v>23</v>
      </c>
      <c r="N324" s="2" t="s">
        <v>23</v>
      </c>
      <c r="O324" s="2" t="s">
        <v>473</v>
      </c>
      <c r="P324" s="2" t="s">
        <v>367</v>
      </c>
      <c r="Q324" s="2" t="s">
        <v>23</v>
      </c>
    </row>
    <row r="325" spans="1:17" x14ac:dyDescent="0.25">
      <c r="A325" s="2" t="s">
        <v>852</v>
      </c>
      <c r="B325" s="2" t="s">
        <v>23</v>
      </c>
      <c r="C325" s="5">
        <v>0</v>
      </c>
      <c r="D325" s="3" t="b">
        <f>FALSE()</f>
        <v>0</v>
      </c>
      <c r="E325" s="3" t="b">
        <f>FALSE()</f>
        <v>0</v>
      </c>
      <c r="F325" s="2" t="s">
        <v>23</v>
      </c>
      <c r="G325" s="2" t="s">
        <v>744</v>
      </c>
      <c r="H325" s="2" t="s">
        <v>23</v>
      </c>
      <c r="I325" s="2" t="s">
        <v>487</v>
      </c>
      <c r="J325" s="3" t="b">
        <f>TRUE()</f>
        <v>1</v>
      </c>
      <c r="K325" s="10">
        <v>0</v>
      </c>
      <c r="L325" s="10">
        <v>0</v>
      </c>
      <c r="M325" s="2" t="s">
        <v>23</v>
      </c>
      <c r="N325" s="2" t="s">
        <v>23</v>
      </c>
      <c r="O325" s="2" t="s">
        <v>473</v>
      </c>
      <c r="P325" s="2" t="s">
        <v>367</v>
      </c>
      <c r="Q325" s="2" t="s">
        <v>23</v>
      </c>
    </row>
    <row r="326" spans="1:17" x14ac:dyDescent="0.25">
      <c r="A326" s="2" t="s">
        <v>853</v>
      </c>
      <c r="B326" s="2" t="s">
        <v>854</v>
      </c>
      <c r="C326" s="5">
        <v>0</v>
      </c>
      <c r="D326" s="3" t="b">
        <f>FALSE()</f>
        <v>0</v>
      </c>
      <c r="E326" s="3" t="b">
        <f>FALSE()</f>
        <v>0</v>
      </c>
      <c r="F326" s="2" t="s">
        <v>23</v>
      </c>
      <c r="G326" s="2" t="s">
        <v>364</v>
      </c>
      <c r="H326" s="2" t="s">
        <v>23</v>
      </c>
      <c r="I326" s="2" t="s">
        <v>487</v>
      </c>
      <c r="J326" s="3" t="b">
        <f>TRUE()</f>
        <v>1</v>
      </c>
      <c r="K326" s="10">
        <v>0</v>
      </c>
      <c r="L326" s="10">
        <v>0</v>
      </c>
      <c r="M326" s="2" t="s">
        <v>23</v>
      </c>
      <c r="N326" s="2" t="s">
        <v>855</v>
      </c>
      <c r="O326" s="2" t="s">
        <v>24</v>
      </c>
      <c r="P326" s="2" t="s">
        <v>367</v>
      </c>
      <c r="Q326" s="2" t="s">
        <v>23</v>
      </c>
    </row>
    <row r="327" spans="1:17" x14ac:dyDescent="0.25">
      <c r="A327" s="2" t="s">
        <v>856</v>
      </c>
      <c r="B327" s="2" t="s">
        <v>857</v>
      </c>
      <c r="C327" s="5">
        <v>0</v>
      </c>
      <c r="D327" s="3" t="b">
        <f>FALSE()</f>
        <v>0</v>
      </c>
      <c r="E327" s="3" t="b">
        <f>FALSE()</f>
        <v>0</v>
      </c>
      <c r="F327" s="2" t="s">
        <v>23</v>
      </c>
      <c r="G327" s="2" t="s">
        <v>364</v>
      </c>
      <c r="H327" s="2" t="s">
        <v>23</v>
      </c>
      <c r="I327" s="2" t="s">
        <v>487</v>
      </c>
      <c r="J327" s="3" t="b">
        <f>TRUE()</f>
        <v>1</v>
      </c>
      <c r="K327" s="10">
        <v>0</v>
      </c>
      <c r="L327" s="10">
        <v>0</v>
      </c>
      <c r="M327" s="2" t="s">
        <v>23</v>
      </c>
      <c r="N327" s="2" t="s">
        <v>855</v>
      </c>
      <c r="O327" s="2" t="s">
        <v>24</v>
      </c>
      <c r="P327" s="2" t="s">
        <v>367</v>
      </c>
      <c r="Q327" s="2" t="s">
        <v>23</v>
      </c>
    </row>
    <row r="328" spans="1:17" x14ac:dyDescent="0.25">
      <c r="A328" s="2" t="s">
        <v>858</v>
      </c>
      <c r="B328" s="2" t="s">
        <v>859</v>
      </c>
      <c r="C328" s="5">
        <v>182</v>
      </c>
      <c r="D328" s="3" t="b">
        <f>FALSE()</f>
        <v>0</v>
      </c>
      <c r="E328" s="3" t="b">
        <f>FALSE()</f>
        <v>0</v>
      </c>
      <c r="F328" s="2" t="s">
        <v>23</v>
      </c>
      <c r="G328" s="2" t="s">
        <v>364</v>
      </c>
      <c r="H328" s="2" t="s">
        <v>23</v>
      </c>
      <c r="I328" s="2" t="s">
        <v>487</v>
      </c>
      <c r="J328" s="3" t="b">
        <f>TRUE()</f>
        <v>1</v>
      </c>
      <c r="K328" s="10">
        <v>8.9399999999999993E-2</v>
      </c>
      <c r="L328" s="10">
        <v>0</v>
      </c>
      <c r="M328" s="2" t="s">
        <v>23</v>
      </c>
      <c r="N328" s="2" t="s">
        <v>855</v>
      </c>
      <c r="O328" s="2" t="s">
        <v>24</v>
      </c>
      <c r="P328" s="2" t="s">
        <v>367</v>
      </c>
      <c r="Q328" s="2" t="s">
        <v>23</v>
      </c>
    </row>
    <row r="329" spans="1:17" x14ac:dyDescent="0.25">
      <c r="A329" s="2" t="s">
        <v>860</v>
      </c>
      <c r="B329" s="2" t="s">
        <v>861</v>
      </c>
      <c r="C329" s="5">
        <v>261</v>
      </c>
      <c r="D329" s="3" t="b">
        <f>FALSE()</f>
        <v>0</v>
      </c>
      <c r="E329" s="3" t="b">
        <f>FALSE()</f>
        <v>0</v>
      </c>
      <c r="F329" s="2" t="s">
        <v>23</v>
      </c>
      <c r="G329" s="2" t="s">
        <v>364</v>
      </c>
      <c r="H329" s="2" t="s">
        <v>23</v>
      </c>
      <c r="I329" s="2" t="s">
        <v>487</v>
      </c>
      <c r="J329" s="3" t="b">
        <f>TRUE()</f>
        <v>1</v>
      </c>
      <c r="K329" s="10">
        <v>8.3599999999999994E-2</v>
      </c>
      <c r="L329" s="10">
        <v>0</v>
      </c>
      <c r="M329" s="2" t="s">
        <v>23</v>
      </c>
      <c r="N329" s="2" t="s">
        <v>855</v>
      </c>
      <c r="O329" s="2" t="s">
        <v>24</v>
      </c>
      <c r="P329" s="2" t="s">
        <v>367</v>
      </c>
      <c r="Q329" s="2" t="s">
        <v>23</v>
      </c>
    </row>
    <row r="330" spans="1:17" x14ac:dyDescent="0.25">
      <c r="A330" s="2" t="s">
        <v>862</v>
      </c>
      <c r="B330" s="2" t="s">
        <v>863</v>
      </c>
      <c r="C330" s="5">
        <v>295</v>
      </c>
      <c r="D330" s="3" t="b">
        <f>FALSE()</f>
        <v>0</v>
      </c>
      <c r="E330" s="3" t="b">
        <f>FALSE()</f>
        <v>0</v>
      </c>
      <c r="F330" s="2" t="s">
        <v>23</v>
      </c>
      <c r="G330" s="2" t="s">
        <v>364</v>
      </c>
      <c r="H330" s="2" t="s">
        <v>23</v>
      </c>
      <c r="I330" s="2" t="s">
        <v>487</v>
      </c>
      <c r="J330" s="3" t="b">
        <f>FALSE()</f>
        <v>0</v>
      </c>
      <c r="K330" s="10">
        <v>0.1515</v>
      </c>
      <c r="L330" s="10">
        <v>0</v>
      </c>
      <c r="M330" s="2" t="s">
        <v>23</v>
      </c>
      <c r="N330" s="2" t="s">
        <v>23</v>
      </c>
      <c r="O330" s="2" t="s">
        <v>24</v>
      </c>
      <c r="P330" s="2" t="s">
        <v>367</v>
      </c>
      <c r="Q330" s="2" t="s">
        <v>23</v>
      </c>
    </row>
    <row r="331" spans="1:17" x14ac:dyDescent="0.25">
      <c r="A331" s="2" t="s">
        <v>864</v>
      </c>
      <c r="B331" s="2" t="s">
        <v>865</v>
      </c>
      <c r="C331" s="5">
        <v>0</v>
      </c>
      <c r="D331" s="3" t="b">
        <f>FALSE()</f>
        <v>0</v>
      </c>
      <c r="E331" s="3" t="b">
        <f>FALSE()</f>
        <v>0</v>
      </c>
      <c r="F331" s="2" t="s">
        <v>23</v>
      </c>
      <c r="G331" s="2" t="s">
        <v>364</v>
      </c>
      <c r="H331" s="2" t="s">
        <v>23</v>
      </c>
      <c r="I331" s="2" t="s">
        <v>487</v>
      </c>
      <c r="J331" s="3" t="b">
        <f>TRUE()</f>
        <v>1</v>
      </c>
      <c r="K331" s="10">
        <v>0</v>
      </c>
      <c r="L331" s="10">
        <v>0</v>
      </c>
      <c r="M331" s="2" t="s">
        <v>866</v>
      </c>
      <c r="N331" s="2" t="s">
        <v>867</v>
      </c>
      <c r="O331" s="2" t="s">
        <v>24</v>
      </c>
      <c r="P331" s="2" t="s">
        <v>367</v>
      </c>
      <c r="Q331" s="2" t="s">
        <v>23</v>
      </c>
    </row>
    <row r="332" spans="1:17" x14ac:dyDescent="0.25">
      <c r="A332" s="2" t="s">
        <v>340</v>
      </c>
      <c r="B332" s="2" t="s">
        <v>345</v>
      </c>
      <c r="C332" s="5">
        <v>200</v>
      </c>
      <c r="D332" s="3" t="b">
        <f>TRUE()</f>
        <v>1</v>
      </c>
      <c r="E332" s="3" t="b">
        <f>FALSE()</f>
        <v>0</v>
      </c>
      <c r="F332" s="2" t="s">
        <v>23</v>
      </c>
      <c r="G332" s="2" t="s">
        <v>364</v>
      </c>
      <c r="H332" s="2" t="s">
        <v>23</v>
      </c>
      <c r="I332" s="2" t="s">
        <v>487</v>
      </c>
      <c r="J332" s="3" t="b">
        <f>FALSE()</f>
        <v>0</v>
      </c>
      <c r="K332" s="10">
        <v>0.109</v>
      </c>
      <c r="L332" s="10">
        <v>0</v>
      </c>
      <c r="M332" s="2" t="s">
        <v>868</v>
      </c>
      <c r="N332" s="2" t="s">
        <v>869</v>
      </c>
      <c r="O332" s="2" t="s">
        <v>24</v>
      </c>
      <c r="P332" s="2" t="s">
        <v>367</v>
      </c>
      <c r="Q332" s="2" t="s">
        <v>23</v>
      </c>
    </row>
    <row r="333" spans="1:17" x14ac:dyDescent="0.25">
      <c r="A333" s="2" t="s">
        <v>870</v>
      </c>
      <c r="B333" s="2" t="s">
        <v>871</v>
      </c>
      <c r="C333" s="5">
        <v>0</v>
      </c>
      <c r="D333" s="3" t="b">
        <f>FALSE()</f>
        <v>0</v>
      </c>
      <c r="E333" s="3" t="b">
        <f>FALSE()</f>
        <v>0</v>
      </c>
      <c r="F333" s="2" t="s">
        <v>23</v>
      </c>
      <c r="G333" s="2" t="s">
        <v>364</v>
      </c>
      <c r="H333" s="2" t="s">
        <v>23</v>
      </c>
      <c r="I333" s="2" t="s">
        <v>487</v>
      </c>
      <c r="J333" s="3" t="b">
        <f>TRUE()</f>
        <v>1</v>
      </c>
      <c r="K333" s="10">
        <v>0</v>
      </c>
      <c r="L333" s="10">
        <v>0</v>
      </c>
      <c r="M333" s="2" t="s">
        <v>866</v>
      </c>
      <c r="N333" s="2" t="s">
        <v>867</v>
      </c>
      <c r="O333" s="2" t="s">
        <v>24</v>
      </c>
      <c r="P333" s="2" t="s">
        <v>367</v>
      </c>
      <c r="Q333" s="2" t="s">
        <v>23</v>
      </c>
    </row>
    <row r="334" spans="1:17" x14ac:dyDescent="0.25">
      <c r="A334" s="2" t="s">
        <v>872</v>
      </c>
      <c r="B334" s="2" t="s">
        <v>873</v>
      </c>
      <c r="C334" s="5">
        <v>0</v>
      </c>
      <c r="D334" s="3" t="b">
        <f>FALSE()</f>
        <v>0</v>
      </c>
      <c r="E334" s="3" t="b">
        <f>FALSE()</f>
        <v>0</v>
      </c>
      <c r="F334" s="2" t="s">
        <v>23</v>
      </c>
      <c r="G334" s="2" t="s">
        <v>364</v>
      </c>
      <c r="H334" s="2" t="s">
        <v>23</v>
      </c>
      <c r="I334" s="2" t="s">
        <v>487</v>
      </c>
      <c r="J334" s="3" t="b">
        <f>TRUE()</f>
        <v>1</v>
      </c>
      <c r="K334" s="10">
        <v>0</v>
      </c>
      <c r="L334" s="10">
        <v>0</v>
      </c>
      <c r="M334" s="2" t="s">
        <v>874</v>
      </c>
      <c r="N334" s="2" t="s">
        <v>869</v>
      </c>
      <c r="O334" s="2" t="s">
        <v>24</v>
      </c>
      <c r="P334" s="2" t="s">
        <v>367</v>
      </c>
      <c r="Q334" s="2" t="s">
        <v>23</v>
      </c>
    </row>
    <row r="335" spans="1:17" x14ac:dyDescent="0.25">
      <c r="A335" s="2" t="s">
        <v>875</v>
      </c>
      <c r="B335" s="2" t="s">
        <v>876</v>
      </c>
      <c r="C335" s="5">
        <v>0</v>
      </c>
      <c r="D335" s="3" t="b">
        <f>FALSE()</f>
        <v>0</v>
      </c>
      <c r="E335" s="3" t="b">
        <f>FALSE()</f>
        <v>0</v>
      </c>
      <c r="F335" s="2" t="s">
        <v>23</v>
      </c>
      <c r="G335" s="2" t="s">
        <v>364</v>
      </c>
      <c r="H335" s="2" t="s">
        <v>23</v>
      </c>
      <c r="I335" s="2" t="s">
        <v>487</v>
      </c>
      <c r="J335" s="3" t="b">
        <f>TRUE()</f>
        <v>1</v>
      </c>
      <c r="K335" s="10">
        <v>0</v>
      </c>
      <c r="L335" s="10">
        <v>0</v>
      </c>
      <c r="M335" s="2" t="s">
        <v>874</v>
      </c>
      <c r="N335" s="2" t="s">
        <v>869</v>
      </c>
      <c r="O335" s="2" t="s">
        <v>24</v>
      </c>
      <c r="P335" s="2" t="s">
        <v>367</v>
      </c>
      <c r="Q335" s="2" t="s">
        <v>23</v>
      </c>
    </row>
    <row r="336" spans="1:17" x14ac:dyDescent="0.25">
      <c r="A336" s="2" t="s">
        <v>877</v>
      </c>
      <c r="B336" s="2" t="s">
        <v>878</v>
      </c>
      <c r="C336" s="5">
        <v>90646</v>
      </c>
      <c r="D336" s="3" t="b">
        <f>FALSE()</f>
        <v>0</v>
      </c>
      <c r="E336" s="3" t="b">
        <f>FALSE()</f>
        <v>0</v>
      </c>
      <c r="F336" s="2" t="s">
        <v>23</v>
      </c>
      <c r="G336" s="2" t="s">
        <v>364</v>
      </c>
      <c r="H336" s="2" t="s">
        <v>23</v>
      </c>
      <c r="I336" s="2" t="s">
        <v>487</v>
      </c>
      <c r="J336" s="3" t="b">
        <f>FALSE()</f>
        <v>0</v>
      </c>
      <c r="K336" s="10">
        <v>9.6659999999999996E-2</v>
      </c>
      <c r="L336" s="10">
        <v>0</v>
      </c>
      <c r="M336" s="2" t="s">
        <v>879</v>
      </c>
      <c r="N336" s="2" t="s">
        <v>880</v>
      </c>
      <c r="O336" s="2" t="s">
        <v>24</v>
      </c>
      <c r="P336" s="2" t="s">
        <v>367</v>
      </c>
      <c r="Q336" s="2" t="s">
        <v>23</v>
      </c>
    </row>
    <row r="337" spans="1:17" x14ac:dyDescent="0.25">
      <c r="A337" s="2" t="s">
        <v>881</v>
      </c>
      <c r="B337" s="2" t="s">
        <v>882</v>
      </c>
      <c r="C337" s="5">
        <v>101771</v>
      </c>
      <c r="D337" s="3" t="b">
        <f>FALSE()</f>
        <v>0</v>
      </c>
      <c r="E337" s="3" t="b">
        <f>FALSE()</f>
        <v>0</v>
      </c>
      <c r="F337" s="2" t="s">
        <v>23</v>
      </c>
      <c r="G337" s="2" t="s">
        <v>364</v>
      </c>
      <c r="H337" s="2" t="s">
        <v>23</v>
      </c>
      <c r="I337" s="2" t="s">
        <v>487</v>
      </c>
      <c r="J337" s="3" t="b">
        <f>FALSE()</f>
        <v>0</v>
      </c>
      <c r="K337" s="10">
        <v>0.13045999999999999</v>
      </c>
      <c r="L337" s="10">
        <v>0</v>
      </c>
      <c r="M337" s="2" t="s">
        <v>879</v>
      </c>
      <c r="N337" s="2" t="s">
        <v>880</v>
      </c>
      <c r="O337" s="2" t="s">
        <v>24</v>
      </c>
      <c r="P337" s="2" t="s">
        <v>367</v>
      </c>
      <c r="Q337" s="2" t="s">
        <v>23</v>
      </c>
    </row>
    <row r="338" spans="1:17" x14ac:dyDescent="0.25">
      <c r="A338" s="2" t="s">
        <v>883</v>
      </c>
      <c r="B338" s="2" t="s">
        <v>884</v>
      </c>
      <c r="C338" s="5">
        <v>790</v>
      </c>
      <c r="D338" s="3" t="b">
        <f>FALSE()</f>
        <v>0</v>
      </c>
      <c r="E338" s="3" t="b">
        <f>FALSE()</f>
        <v>0</v>
      </c>
      <c r="F338" s="2" t="s">
        <v>23</v>
      </c>
      <c r="G338" s="2" t="s">
        <v>364</v>
      </c>
      <c r="H338" s="2" t="s">
        <v>23</v>
      </c>
      <c r="I338" s="2" t="s">
        <v>487</v>
      </c>
      <c r="J338" s="3" t="b">
        <f>FALSE()</f>
        <v>0</v>
      </c>
      <c r="K338" s="10">
        <v>8.0689999999999998E-2</v>
      </c>
      <c r="L338" s="10">
        <v>0</v>
      </c>
      <c r="M338" s="2" t="s">
        <v>23</v>
      </c>
      <c r="N338" s="2" t="s">
        <v>23</v>
      </c>
      <c r="O338" s="2" t="s">
        <v>24</v>
      </c>
      <c r="P338" s="2" t="s">
        <v>367</v>
      </c>
      <c r="Q338" s="2" t="s">
        <v>23</v>
      </c>
    </row>
    <row r="339" spans="1:17" x14ac:dyDescent="0.25">
      <c r="A339" s="2" t="s">
        <v>885</v>
      </c>
      <c r="B339" s="2" t="s">
        <v>886</v>
      </c>
      <c r="C339" s="5">
        <v>1010</v>
      </c>
      <c r="D339" s="3" t="b">
        <f>FALSE()</f>
        <v>0</v>
      </c>
      <c r="E339" s="3" t="b">
        <f>FALSE()</f>
        <v>0</v>
      </c>
      <c r="F339" s="2" t="s">
        <v>23</v>
      </c>
      <c r="G339" s="2" t="s">
        <v>364</v>
      </c>
      <c r="H339" s="2" t="s">
        <v>23</v>
      </c>
      <c r="I339" s="2" t="s">
        <v>487</v>
      </c>
      <c r="J339" s="3" t="b">
        <f>FALSE()</f>
        <v>0</v>
      </c>
      <c r="K339" s="10">
        <v>0.22499</v>
      </c>
      <c r="L339" s="10">
        <v>0</v>
      </c>
      <c r="M339" s="2" t="s">
        <v>874</v>
      </c>
      <c r="N339" s="2" t="s">
        <v>869</v>
      </c>
      <c r="O339" s="2" t="s">
        <v>24</v>
      </c>
      <c r="P339" s="2" t="s">
        <v>367</v>
      </c>
      <c r="Q339" s="2" t="s">
        <v>23</v>
      </c>
    </row>
    <row r="340" spans="1:17" x14ac:dyDescent="0.25">
      <c r="A340" s="2" t="s">
        <v>887</v>
      </c>
      <c r="B340" s="2" t="s">
        <v>888</v>
      </c>
      <c r="C340" s="5">
        <v>1490</v>
      </c>
      <c r="D340" s="3" t="b">
        <f>FALSE()</f>
        <v>0</v>
      </c>
      <c r="E340" s="3" t="b">
        <f>FALSE()</f>
        <v>0</v>
      </c>
      <c r="F340" s="2" t="s">
        <v>23</v>
      </c>
      <c r="G340" s="2" t="s">
        <v>364</v>
      </c>
      <c r="H340" s="2" t="s">
        <v>23</v>
      </c>
      <c r="I340" s="2" t="s">
        <v>487</v>
      </c>
      <c r="J340" s="3" t="b">
        <f>FALSE()</f>
        <v>0</v>
      </c>
      <c r="K340" s="10">
        <v>5.0999999999999997E-2</v>
      </c>
      <c r="L340" s="10">
        <v>0</v>
      </c>
      <c r="M340" s="2" t="s">
        <v>868</v>
      </c>
      <c r="N340" s="2" t="s">
        <v>869</v>
      </c>
      <c r="O340" s="2" t="s">
        <v>24</v>
      </c>
      <c r="P340" s="2" t="s">
        <v>367</v>
      </c>
      <c r="Q340" s="2" t="s">
        <v>23</v>
      </c>
    </row>
    <row r="341" spans="1:17" x14ac:dyDescent="0.25">
      <c r="A341" s="2" t="s">
        <v>889</v>
      </c>
      <c r="B341" s="2" t="s">
        <v>890</v>
      </c>
      <c r="C341" s="5">
        <v>399</v>
      </c>
      <c r="D341" s="3" t="b">
        <f>FALSE()</f>
        <v>0</v>
      </c>
      <c r="E341" s="3" t="b">
        <f>FALSE()</f>
        <v>0</v>
      </c>
      <c r="F341" s="2" t="s">
        <v>23</v>
      </c>
      <c r="G341" s="2" t="s">
        <v>364</v>
      </c>
      <c r="H341" s="2" t="s">
        <v>23</v>
      </c>
      <c r="I341" s="2" t="s">
        <v>487</v>
      </c>
      <c r="J341" s="3" t="b">
        <f>FALSE()</f>
        <v>0</v>
      </c>
      <c r="K341" s="10">
        <v>9.8699999999999996E-2</v>
      </c>
      <c r="L341" s="10">
        <v>0</v>
      </c>
      <c r="M341" s="2" t="s">
        <v>23</v>
      </c>
      <c r="N341" s="2" t="s">
        <v>23</v>
      </c>
      <c r="O341" s="2" t="s">
        <v>24</v>
      </c>
      <c r="P341" s="2" t="s">
        <v>367</v>
      </c>
      <c r="Q341" s="2" t="s">
        <v>23</v>
      </c>
    </row>
    <row r="342" spans="1:17" x14ac:dyDescent="0.25">
      <c r="A342" s="2" t="s">
        <v>891</v>
      </c>
      <c r="B342" s="2" t="s">
        <v>892</v>
      </c>
      <c r="C342" s="5">
        <v>0</v>
      </c>
      <c r="D342" s="3" t="b">
        <f>FALSE()</f>
        <v>0</v>
      </c>
      <c r="E342" s="3" t="b">
        <f>FALSE()</f>
        <v>0</v>
      </c>
      <c r="F342" s="2" t="s">
        <v>23</v>
      </c>
      <c r="G342" s="2" t="s">
        <v>364</v>
      </c>
      <c r="H342" s="2" t="s">
        <v>23</v>
      </c>
      <c r="I342" s="2" t="s">
        <v>487</v>
      </c>
      <c r="J342" s="3" t="b">
        <f>TRUE()</f>
        <v>1</v>
      </c>
      <c r="K342" s="10">
        <v>0</v>
      </c>
      <c r="L342" s="10">
        <v>0</v>
      </c>
      <c r="M342" s="2" t="s">
        <v>23</v>
      </c>
      <c r="N342" s="2" t="s">
        <v>23</v>
      </c>
      <c r="O342" s="2" t="s">
        <v>24</v>
      </c>
      <c r="P342" s="2" t="s">
        <v>367</v>
      </c>
      <c r="Q342" s="2" t="s">
        <v>23</v>
      </c>
    </row>
    <row r="343" spans="1:17" x14ac:dyDescent="0.25">
      <c r="A343" s="2" t="s">
        <v>893</v>
      </c>
      <c r="B343" s="2" t="s">
        <v>894</v>
      </c>
      <c r="C343" s="5">
        <v>348</v>
      </c>
      <c r="D343" s="3" t="b">
        <f>FALSE()</f>
        <v>0</v>
      </c>
      <c r="E343" s="3" t="b">
        <f>FALSE()</f>
        <v>0</v>
      </c>
      <c r="F343" s="2" t="s">
        <v>23</v>
      </c>
      <c r="G343" s="2" t="s">
        <v>364</v>
      </c>
      <c r="H343" s="2" t="s">
        <v>23</v>
      </c>
      <c r="I343" s="2" t="s">
        <v>487</v>
      </c>
      <c r="J343" s="3" t="b">
        <f>FALSE()</f>
        <v>0</v>
      </c>
      <c r="K343" s="10">
        <v>9.8699999999999996E-2</v>
      </c>
      <c r="L343" s="10">
        <v>0</v>
      </c>
      <c r="M343" s="2" t="s">
        <v>23</v>
      </c>
      <c r="N343" s="2" t="s">
        <v>895</v>
      </c>
      <c r="O343" s="2" t="s">
        <v>24</v>
      </c>
      <c r="P343" s="2" t="s">
        <v>367</v>
      </c>
      <c r="Q343" s="2" t="s">
        <v>23</v>
      </c>
    </row>
    <row r="344" spans="1:17" x14ac:dyDescent="0.25">
      <c r="A344" s="2" t="s">
        <v>896</v>
      </c>
      <c r="B344" s="2" t="s">
        <v>897</v>
      </c>
      <c r="C344" s="5">
        <v>461</v>
      </c>
      <c r="D344" s="3" t="b">
        <f>FALSE()</f>
        <v>0</v>
      </c>
      <c r="E344" s="3" t="b">
        <f>FALSE()</f>
        <v>0</v>
      </c>
      <c r="F344" s="2" t="s">
        <v>23</v>
      </c>
      <c r="G344" s="2" t="s">
        <v>364</v>
      </c>
      <c r="H344" s="2" t="s">
        <v>23</v>
      </c>
      <c r="I344" s="2" t="s">
        <v>487</v>
      </c>
      <c r="J344" s="3" t="b">
        <f>FALSE()</f>
        <v>0</v>
      </c>
      <c r="K344" s="10">
        <v>0.1026</v>
      </c>
      <c r="L344" s="10">
        <v>0</v>
      </c>
      <c r="M344" s="2" t="s">
        <v>23</v>
      </c>
      <c r="N344" s="2" t="s">
        <v>895</v>
      </c>
      <c r="O344" s="2" t="s">
        <v>24</v>
      </c>
      <c r="P344" s="2" t="s">
        <v>367</v>
      </c>
      <c r="Q344" s="2" t="s">
        <v>23</v>
      </c>
    </row>
    <row r="345" spans="1:17" x14ac:dyDescent="0.25">
      <c r="A345" s="2" t="s">
        <v>341</v>
      </c>
      <c r="B345" s="2" t="s">
        <v>342</v>
      </c>
      <c r="C345" s="5">
        <v>0</v>
      </c>
      <c r="D345" s="3" t="b">
        <f>TRUE()</f>
        <v>1</v>
      </c>
      <c r="E345" s="3" t="b">
        <f>FALSE()</f>
        <v>0</v>
      </c>
      <c r="F345" s="2" t="s">
        <v>23</v>
      </c>
      <c r="G345" s="2" t="s">
        <v>364</v>
      </c>
      <c r="H345" s="2" t="s">
        <v>23</v>
      </c>
      <c r="I345" s="2" t="s">
        <v>487</v>
      </c>
      <c r="J345" s="3" t="b">
        <f>FALSE()</f>
        <v>0</v>
      </c>
      <c r="K345" s="10">
        <v>0.26</v>
      </c>
      <c r="L345" s="10">
        <v>0</v>
      </c>
      <c r="M345" s="2" t="s">
        <v>898</v>
      </c>
      <c r="N345" s="2" t="s">
        <v>23</v>
      </c>
      <c r="O345" s="2" t="s">
        <v>24</v>
      </c>
      <c r="P345" s="2" t="s">
        <v>367</v>
      </c>
      <c r="Q345" s="2" t="s">
        <v>23</v>
      </c>
    </row>
    <row r="346" spans="1:17" x14ac:dyDescent="0.25">
      <c r="A346" s="2" t="s">
        <v>899</v>
      </c>
      <c r="B346" s="2" t="s">
        <v>23</v>
      </c>
      <c r="C346" s="5">
        <v>0</v>
      </c>
      <c r="D346" s="3" t="b">
        <f>FALSE()</f>
        <v>0</v>
      </c>
      <c r="E346" s="3" t="b">
        <f>FALSE()</f>
        <v>0</v>
      </c>
      <c r="F346" s="2" t="s">
        <v>23</v>
      </c>
      <c r="G346" s="2" t="s">
        <v>364</v>
      </c>
      <c r="H346" s="2" t="s">
        <v>23</v>
      </c>
      <c r="I346" s="2" t="s">
        <v>487</v>
      </c>
      <c r="J346" s="3" t="b">
        <f>TRUE()</f>
        <v>1</v>
      </c>
      <c r="K346" s="10">
        <v>0</v>
      </c>
      <c r="L346" s="10">
        <v>0</v>
      </c>
      <c r="M346" s="2" t="s">
        <v>23</v>
      </c>
      <c r="N346" s="2" t="s">
        <v>23</v>
      </c>
      <c r="O346" s="2" t="s">
        <v>24</v>
      </c>
      <c r="P346" s="2" t="s">
        <v>367</v>
      </c>
      <c r="Q346" s="2" t="s">
        <v>23</v>
      </c>
    </row>
    <row r="347" spans="1:17" x14ac:dyDescent="0.25">
      <c r="A347" s="2" t="s">
        <v>900</v>
      </c>
      <c r="B347" s="2" t="s">
        <v>901</v>
      </c>
      <c r="C347" s="5">
        <v>1158</v>
      </c>
      <c r="D347" s="3" t="b">
        <f>FALSE()</f>
        <v>0</v>
      </c>
      <c r="E347" s="3" t="b">
        <f>FALSE()</f>
        <v>0</v>
      </c>
      <c r="F347" s="2" t="s">
        <v>23</v>
      </c>
      <c r="G347" s="2" t="s">
        <v>364</v>
      </c>
      <c r="H347" s="2" t="s">
        <v>23</v>
      </c>
      <c r="I347" s="2" t="s">
        <v>487</v>
      </c>
      <c r="J347" s="3" t="b">
        <f>FALSE()</f>
        <v>0</v>
      </c>
      <c r="K347" s="10">
        <v>0.15970000000000001</v>
      </c>
      <c r="L347" s="10">
        <v>0</v>
      </c>
      <c r="M347" s="2" t="s">
        <v>23</v>
      </c>
      <c r="N347" s="2" t="s">
        <v>23</v>
      </c>
      <c r="O347" s="2" t="s">
        <v>24</v>
      </c>
      <c r="P347" s="2" t="s">
        <v>367</v>
      </c>
      <c r="Q347" s="2" t="s">
        <v>23</v>
      </c>
    </row>
    <row r="348" spans="1:17" x14ac:dyDescent="0.25">
      <c r="A348" s="2" t="s">
        <v>343</v>
      </c>
      <c r="B348" s="2" t="s">
        <v>344</v>
      </c>
      <c r="C348" s="5">
        <v>159897</v>
      </c>
      <c r="D348" s="3" t="b">
        <f>TRUE()</f>
        <v>1</v>
      </c>
      <c r="E348" s="3" t="b">
        <f>FALSE()</f>
        <v>0</v>
      </c>
      <c r="F348" s="2" t="s">
        <v>23</v>
      </c>
      <c r="G348" s="2" t="s">
        <v>364</v>
      </c>
      <c r="H348" s="2" t="s">
        <v>23</v>
      </c>
      <c r="I348" s="2" t="s">
        <v>487</v>
      </c>
      <c r="J348" s="3" t="b">
        <f>FALSE()</f>
        <v>0</v>
      </c>
      <c r="K348" s="10">
        <v>9.4E-2</v>
      </c>
      <c r="L348" s="10">
        <v>0</v>
      </c>
      <c r="M348" s="2" t="s">
        <v>902</v>
      </c>
      <c r="N348" s="2" t="s">
        <v>23</v>
      </c>
      <c r="O348" s="2" t="s">
        <v>24</v>
      </c>
      <c r="P348" s="2" t="s">
        <v>367</v>
      </c>
      <c r="Q348" s="2" t="s">
        <v>23</v>
      </c>
    </row>
    <row r="349" spans="1:17" x14ac:dyDescent="0.25">
      <c r="A349" s="2" t="s">
        <v>903</v>
      </c>
      <c r="B349" s="2" t="s">
        <v>904</v>
      </c>
      <c r="C349" s="5">
        <v>199</v>
      </c>
      <c r="D349" s="3" t="b">
        <f>FALSE()</f>
        <v>0</v>
      </c>
      <c r="E349" s="3" t="b">
        <f>FALSE()</f>
        <v>0</v>
      </c>
      <c r="F349" s="2" t="s">
        <v>23</v>
      </c>
      <c r="G349" s="2" t="s">
        <v>364</v>
      </c>
      <c r="H349" s="2" t="s">
        <v>23</v>
      </c>
      <c r="I349" s="2" t="s">
        <v>487</v>
      </c>
      <c r="J349" s="3" t="b">
        <f>FALSE()</f>
        <v>0</v>
      </c>
      <c r="K349" s="10">
        <v>0.1898</v>
      </c>
      <c r="L349" s="10">
        <v>0</v>
      </c>
      <c r="M349" s="2" t="s">
        <v>23</v>
      </c>
      <c r="N349" s="2" t="s">
        <v>895</v>
      </c>
      <c r="O349" s="2" t="s">
        <v>24</v>
      </c>
      <c r="P349" s="2" t="s">
        <v>367</v>
      </c>
      <c r="Q349" s="2" t="s">
        <v>23</v>
      </c>
    </row>
    <row r="350" spans="1:17" x14ac:dyDescent="0.25">
      <c r="A350" s="2" t="s">
        <v>905</v>
      </c>
      <c r="B350" s="2" t="s">
        <v>23</v>
      </c>
      <c r="C350" s="5">
        <v>0</v>
      </c>
      <c r="D350" s="3" t="b">
        <f>FALSE()</f>
        <v>0</v>
      </c>
      <c r="E350" s="3" t="b">
        <f>FALSE()</f>
        <v>0</v>
      </c>
      <c r="F350" s="2" t="s">
        <v>23</v>
      </c>
      <c r="G350" s="2" t="s">
        <v>364</v>
      </c>
      <c r="H350" s="2" t="s">
        <v>23</v>
      </c>
      <c r="I350" s="2" t="s">
        <v>487</v>
      </c>
      <c r="J350" s="3" t="b">
        <f>TRUE()</f>
        <v>1</v>
      </c>
      <c r="K350" s="10">
        <v>0</v>
      </c>
      <c r="L350" s="10">
        <v>0</v>
      </c>
      <c r="M350" s="2" t="s">
        <v>23</v>
      </c>
      <c r="N350" s="2" t="s">
        <v>23</v>
      </c>
      <c r="O350" s="2" t="s">
        <v>24</v>
      </c>
      <c r="P350" s="2" t="s">
        <v>367</v>
      </c>
      <c r="Q350" s="2" t="s">
        <v>23</v>
      </c>
    </row>
    <row r="351" spans="1:17" x14ac:dyDescent="0.25">
      <c r="A351" s="2" t="s">
        <v>906</v>
      </c>
      <c r="B351" s="2" t="s">
        <v>907</v>
      </c>
      <c r="C351" s="5">
        <v>0</v>
      </c>
      <c r="D351" s="3" t="b">
        <f>FALSE()</f>
        <v>0</v>
      </c>
      <c r="E351" s="3" t="b">
        <f>FALSE()</f>
        <v>0</v>
      </c>
      <c r="F351" s="2" t="s">
        <v>23</v>
      </c>
      <c r="G351" s="2" t="s">
        <v>364</v>
      </c>
      <c r="H351" s="2" t="s">
        <v>23</v>
      </c>
      <c r="I351" s="2" t="s">
        <v>487</v>
      </c>
      <c r="J351" s="3" t="b">
        <f>TRUE()</f>
        <v>1</v>
      </c>
      <c r="K351" s="10">
        <v>0</v>
      </c>
      <c r="L351" s="10">
        <v>0</v>
      </c>
      <c r="M351" s="2" t="s">
        <v>23</v>
      </c>
      <c r="N351" s="2" t="s">
        <v>23</v>
      </c>
      <c r="O351" s="2" t="s">
        <v>24</v>
      </c>
      <c r="P351" s="2" t="s">
        <v>367</v>
      </c>
      <c r="Q351" s="2" t="s">
        <v>23</v>
      </c>
    </row>
    <row r="352" spans="1:17" x14ac:dyDescent="0.25">
      <c r="A352" s="2" t="s">
        <v>908</v>
      </c>
      <c r="B352" s="2" t="s">
        <v>909</v>
      </c>
      <c r="C352" s="5">
        <v>185</v>
      </c>
      <c r="D352" s="3" t="b">
        <f>FALSE()</f>
        <v>0</v>
      </c>
      <c r="E352" s="3" t="b">
        <f>FALSE()</f>
        <v>0</v>
      </c>
      <c r="F352" s="2" t="s">
        <v>23</v>
      </c>
      <c r="G352" s="2" t="s">
        <v>364</v>
      </c>
      <c r="H352" s="2" t="s">
        <v>23</v>
      </c>
      <c r="I352" s="2" t="s">
        <v>487</v>
      </c>
      <c r="J352" s="3" t="b">
        <f>FALSE()</f>
        <v>0</v>
      </c>
      <c r="K352" s="10">
        <v>0.184</v>
      </c>
      <c r="L352" s="10">
        <v>0</v>
      </c>
      <c r="M352" s="2" t="s">
        <v>23</v>
      </c>
      <c r="N352" s="2" t="s">
        <v>23</v>
      </c>
      <c r="O352" s="2" t="s">
        <v>24</v>
      </c>
      <c r="P352" s="2" t="s">
        <v>367</v>
      </c>
      <c r="Q352" s="2" t="s">
        <v>23</v>
      </c>
    </row>
    <row r="353" spans="1:17" x14ac:dyDescent="0.25">
      <c r="A353" s="2" t="s">
        <v>910</v>
      </c>
      <c r="B353" s="2" t="s">
        <v>23</v>
      </c>
      <c r="C353" s="5">
        <v>0</v>
      </c>
      <c r="D353" s="3" t="b">
        <f>FALSE()</f>
        <v>0</v>
      </c>
      <c r="E353" s="3" t="b">
        <f>FALSE()</f>
        <v>0</v>
      </c>
      <c r="F353" s="2" t="s">
        <v>23</v>
      </c>
      <c r="G353" s="2" t="s">
        <v>364</v>
      </c>
      <c r="H353" s="2" t="s">
        <v>23</v>
      </c>
      <c r="I353" s="2" t="s">
        <v>487</v>
      </c>
      <c r="J353" s="3" t="b">
        <f>TRUE()</f>
        <v>1</v>
      </c>
      <c r="K353" s="10">
        <v>0</v>
      </c>
      <c r="L353" s="10">
        <v>0</v>
      </c>
      <c r="M353" s="2" t="s">
        <v>23</v>
      </c>
      <c r="N353" s="2" t="s">
        <v>23</v>
      </c>
      <c r="O353" s="2" t="s">
        <v>24</v>
      </c>
      <c r="P353" s="2" t="s">
        <v>367</v>
      </c>
      <c r="Q353" s="2" t="s">
        <v>23</v>
      </c>
    </row>
    <row r="354" spans="1:17" x14ac:dyDescent="0.25">
      <c r="A354" s="2" t="s">
        <v>911</v>
      </c>
      <c r="B354" s="2" t="s">
        <v>23</v>
      </c>
      <c r="C354" s="5">
        <v>0</v>
      </c>
      <c r="D354" s="3" t="b">
        <f>FALSE()</f>
        <v>0</v>
      </c>
      <c r="E354" s="3" t="b">
        <f>FALSE()</f>
        <v>0</v>
      </c>
      <c r="F354" s="2" t="s">
        <v>23</v>
      </c>
      <c r="G354" s="2" t="s">
        <v>364</v>
      </c>
      <c r="H354" s="2" t="s">
        <v>23</v>
      </c>
      <c r="I354" s="2" t="s">
        <v>487</v>
      </c>
      <c r="J354" s="3" t="b">
        <f>TRUE()</f>
        <v>1</v>
      </c>
      <c r="K354" s="10">
        <v>0</v>
      </c>
      <c r="L354" s="10">
        <v>0</v>
      </c>
      <c r="M354" s="2" t="s">
        <v>23</v>
      </c>
      <c r="N354" s="2" t="s">
        <v>23</v>
      </c>
      <c r="O354" s="2" t="s">
        <v>24</v>
      </c>
      <c r="P354" s="2" t="s">
        <v>367</v>
      </c>
      <c r="Q354" s="2" t="s">
        <v>23</v>
      </c>
    </row>
    <row r="355" spans="1:17" x14ac:dyDescent="0.25">
      <c r="A355" s="2" t="s">
        <v>912</v>
      </c>
      <c r="B355" s="2" t="s">
        <v>23</v>
      </c>
      <c r="C355" s="5">
        <v>0</v>
      </c>
      <c r="D355" s="3" t="b">
        <f>FALSE()</f>
        <v>0</v>
      </c>
      <c r="E355" s="3" t="b">
        <f>FALSE()</f>
        <v>0</v>
      </c>
      <c r="F355" s="2" t="s">
        <v>23</v>
      </c>
      <c r="G355" s="2" t="s">
        <v>364</v>
      </c>
      <c r="H355" s="2" t="s">
        <v>23</v>
      </c>
      <c r="I355" s="2" t="s">
        <v>487</v>
      </c>
      <c r="J355" s="3" t="b">
        <f>TRUE()</f>
        <v>1</v>
      </c>
      <c r="K355" s="10">
        <v>0</v>
      </c>
      <c r="L355" s="10">
        <v>0</v>
      </c>
      <c r="M355" s="2" t="s">
        <v>23</v>
      </c>
      <c r="N355" s="2" t="s">
        <v>23</v>
      </c>
      <c r="O355" s="2" t="s">
        <v>24</v>
      </c>
      <c r="P355" s="2" t="s">
        <v>367</v>
      </c>
      <c r="Q355" s="2" t="s">
        <v>23</v>
      </c>
    </row>
    <row r="356" spans="1:17" x14ac:dyDescent="0.25">
      <c r="A356" s="2" t="s">
        <v>913</v>
      </c>
      <c r="B356" s="2" t="s">
        <v>914</v>
      </c>
      <c r="C356" s="5">
        <v>4000</v>
      </c>
      <c r="D356" s="3" t="b">
        <f>FALSE()</f>
        <v>0</v>
      </c>
      <c r="E356" s="3" t="b">
        <f>FALSE()</f>
        <v>0</v>
      </c>
      <c r="F356" s="2" t="s">
        <v>23</v>
      </c>
      <c r="G356" s="2" t="s">
        <v>364</v>
      </c>
      <c r="H356" s="2" t="s">
        <v>23</v>
      </c>
      <c r="I356" s="2" t="s">
        <v>487</v>
      </c>
      <c r="J356" s="3" t="b">
        <f>FALSE()</f>
        <v>0</v>
      </c>
      <c r="K356" s="10">
        <v>0.13500000000000001</v>
      </c>
      <c r="L356" s="10">
        <v>0</v>
      </c>
      <c r="M356" s="2" t="s">
        <v>915</v>
      </c>
      <c r="N356" s="2" t="s">
        <v>23</v>
      </c>
      <c r="O356" s="2" t="s">
        <v>24</v>
      </c>
      <c r="P356" s="2" t="s">
        <v>367</v>
      </c>
      <c r="Q356" s="2" t="s">
        <v>23</v>
      </c>
    </row>
    <row r="357" spans="1:17" x14ac:dyDescent="0.25">
      <c r="A357" s="2" t="s">
        <v>916</v>
      </c>
      <c r="B357" s="2" t="s">
        <v>917</v>
      </c>
      <c r="C357" s="5">
        <v>5632</v>
      </c>
      <c r="D357" s="3" t="b">
        <f>FALSE()</f>
        <v>0</v>
      </c>
      <c r="E357" s="3" t="b">
        <f>FALSE()</f>
        <v>0</v>
      </c>
      <c r="F357" s="2" t="s">
        <v>23</v>
      </c>
      <c r="G357" s="2" t="s">
        <v>364</v>
      </c>
      <c r="H357" s="2" t="s">
        <v>23</v>
      </c>
      <c r="I357" s="2" t="s">
        <v>487</v>
      </c>
      <c r="J357" s="3" t="b">
        <f>FALSE()</f>
        <v>0</v>
      </c>
      <c r="K357" s="10">
        <v>0.20100000000000001</v>
      </c>
      <c r="L357" s="10">
        <v>0</v>
      </c>
      <c r="M357" s="2" t="s">
        <v>918</v>
      </c>
      <c r="N357" s="2" t="s">
        <v>23</v>
      </c>
      <c r="O357" s="2" t="s">
        <v>24</v>
      </c>
      <c r="P357" s="2" t="s">
        <v>367</v>
      </c>
      <c r="Q357" s="2" t="s">
        <v>23</v>
      </c>
    </row>
    <row r="358" spans="1:17" x14ac:dyDescent="0.25">
      <c r="A358" s="2" t="s">
        <v>919</v>
      </c>
      <c r="B358" s="2" t="s">
        <v>907</v>
      </c>
      <c r="C358" s="5">
        <v>0</v>
      </c>
      <c r="D358" s="3" t="b">
        <f>FALSE()</f>
        <v>0</v>
      </c>
      <c r="E358" s="3" t="b">
        <f>FALSE()</f>
        <v>0</v>
      </c>
      <c r="F358" s="2" t="s">
        <v>23</v>
      </c>
      <c r="G358" s="2" t="s">
        <v>364</v>
      </c>
      <c r="H358" s="2" t="s">
        <v>23</v>
      </c>
      <c r="I358" s="2" t="s">
        <v>487</v>
      </c>
      <c r="J358" s="3" t="b">
        <f>TRUE()</f>
        <v>1</v>
      </c>
      <c r="K358" s="10">
        <v>0</v>
      </c>
      <c r="L358" s="10">
        <v>0</v>
      </c>
      <c r="M358" s="2" t="s">
        <v>23</v>
      </c>
      <c r="N358" s="2" t="s">
        <v>23</v>
      </c>
      <c r="O358" s="2" t="s">
        <v>24</v>
      </c>
      <c r="P358" s="2" t="s">
        <v>367</v>
      </c>
      <c r="Q358" s="2" t="s">
        <v>23</v>
      </c>
    </row>
    <row r="359" spans="1:17" x14ac:dyDescent="0.25">
      <c r="A359" s="2" t="s">
        <v>920</v>
      </c>
      <c r="B359" s="2" t="s">
        <v>921</v>
      </c>
      <c r="C359" s="5">
        <v>46202</v>
      </c>
      <c r="D359" s="3" t="b">
        <f>FALSE()</f>
        <v>0</v>
      </c>
      <c r="E359" s="3" t="b">
        <f>FALSE()</f>
        <v>0</v>
      </c>
      <c r="F359" s="2" t="s">
        <v>23</v>
      </c>
      <c r="G359" s="2" t="s">
        <v>364</v>
      </c>
      <c r="H359" s="2" t="s">
        <v>23</v>
      </c>
      <c r="I359" s="2" t="s">
        <v>487</v>
      </c>
      <c r="J359" s="3" t="b">
        <f>FALSE()</f>
        <v>0</v>
      </c>
      <c r="K359" s="10">
        <v>9.9900000000000003E-2</v>
      </c>
      <c r="L359" s="10">
        <v>0</v>
      </c>
      <c r="M359" s="2" t="s">
        <v>23</v>
      </c>
      <c r="N359" s="2" t="s">
        <v>23</v>
      </c>
      <c r="O359" s="2" t="s">
        <v>24</v>
      </c>
      <c r="P359" s="2" t="s">
        <v>367</v>
      </c>
      <c r="Q359" s="2" t="s">
        <v>23</v>
      </c>
    </row>
    <row r="360" spans="1:17" x14ac:dyDescent="0.25">
      <c r="A360" s="2" t="s">
        <v>922</v>
      </c>
      <c r="B360" s="2" t="s">
        <v>923</v>
      </c>
      <c r="C360" s="5">
        <v>0</v>
      </c>
      <c r="D360" s="3" t="b">
        <f>FALSE()</f>
        <v>0</v>
      </c>
      <c r="E360" s="3" t="b">
        <f>FALSE()</f>
        <v>0</v>
      </c>
      <c r="F360" s="2" t="s">
        <v>23</v>
      </c>
      <c r="G360" s="2" t="s">
        <v>364</v>
      </c>
      <c r="H360" s="2" t="s">
        <v>23</v>
      </c>
      <c r="I360" s="2" t="s">
        <v>487</v>
      </c>
      <c r="J360" s="3" t="b">
        <f>TRUE()</f>
        <v>1</v>
      </c>
      <c r="K360" s="10">
        <v>0</v>
      </c>
      <c r="L360" s="10">
        <v>0</v>
      </c>
      <c r="M360" s="2" t="s">
        <v>23</v>
      </c>
      <c r="N360" s="2" t="s">
        <v>23</v>
      </c>
      <c r="O360" s="2" t="s">
        <v>24</v>
      </c>
      <c r="P360" s="2" t="s">
        <v>367</v>
      </c>
      <c r="Q360" s="2" t="s">
        <v>23</v>
      </c>
    </row>
    <row r="361" spans="1:17" x14ac:dyDescent="0.25">
      <c r="A361" s="2" t="s">
        <v>924</v>
      </c>
      <c r="B361" s="2" t="s">
        <v>925</v>
      </c>
      <c r="C361" s="5">
        <v>21600</v>
      </c>
      <c r="D361" s="3" t="b">
        <f>FALSE()</f>
        <v>0</v>
      </c>
      <c r="E361" s="3" t="b">
        <f>FALSE()</f>
        <v>0</v>
      </c>
      <c r="F361" s="2" t="s">
        <v>23</v>
      </c>
      <c r="G361" s="2" t="s">
        <v>364</v>
      </c>
      <c r="H361" s="2" t="s">
        <v>23</v>
      </c>
      <c r="I361" s="2" t="s">
        <v>487</v>
      </c>
      <c r="J361" s="3" t="b">
        <f>FALSE()</f>
        <v>0</v>
      </c>
      <c r="K361" s="10">
        <v>9.9900000000000003E-2</v>
      </c>
      <c r="L361" s="10">
        <v>0</v>
      </c>
      <c r="M361" s="2" t="s">
        <v>23</v>
      </c>
      <c r="N361" s="2" t="s">
        <v>23</v>
      </c>
      <c r="O361" s="2" t="s">
        <v>24</v>
      </c>
      <c r="P361" s="2" t="s">
        <v>367</v>
      </c>
      <c r="Q361" s="2" t="s">
        <v>23</v>
      </c>
    </row>
    <row r="362" spans="1:17" x14ac:dyDescent="0.25">
      <c r="A362" s="2" t="s">
        <v>926</v>
      </c>
      <c r="B362" s="2" t="s">
        <v>927</v>
      </c>
      <c r="C362" s="5">
        <v>0</v>
      </c>
      <c r="D362" s="3" t="b">
        <f>FALSE()</f>
        <v>0</v>
      </c>
      <c r="E362" s="3" t="b">
        <f>FALSE()</f>
        <v>0</v>
      </c>
      <c r="F362" s="2" t="s">
        <v>23</v>
      </c>
      <c r="G362" s="2" t="s">
        <v>364</v>
      </c>
      <c r="H362" s="2" t="s">
        <v>23</v>
      </c>
      <c r="I362" s="2" t="s">
        <v>487</v>
      </c>
      <c r="J362" s="3" t="b">
        <f>TRUE()</f>
        <v>1</v>
      </c>
      <c r="K362" s="10">
        <v>0</v>
      </c>
      <c r="L362" s="10">
        <v>0</v>
      </c>
      <c r="M362" s="2" t="s">
        <v>23</v>
      </c>
      <c r="N362" s="2" t="s">
        <v>23</v>
      </c>
      <c r="O362" s="2" t="s">
        <v>24</v>
      </c>
      <c r="P362" s="2" t="s">
        <v>367</v>
      </c>
      <c r="Q362" s="2" t="s">
        <v>23</v>
      </c>
    </row>
    <row r="363" spans="1:17" x14ac:dyDescent="0.25">
      <c r="A363" s="2" t="s">
        <v>928</v>
      </c>
      <c r="B363" s="2" t="s">
        <v>929</v>
      </c>
      <c r="C363" s="5">
        <v>16900</v>
      </c>
      <c r="D363" s="3" t="b">
        <f>FALSE()</f>
        <v>0</v>
      </c>
      <c r="E363" s="3" t="b">
        <f>FALSE()</f>
        <v>0</v>
      </c>
      <c r="F363" s="2" t="s">
        <v>23</v>
      </c>
      <c r="G363" s="2" t="s">
        <v>364</v>
      </c>
      <c r="H363" s="2" t="s">
        <v>23</v>
      </c>
      <c r="I363" s="2" t="s">
        <v>487</v>
      </c>
      <c r="J363" s="3" t="b">
        <f>FALSE()</f>
        <v>0</v>
      </c>
      <c r="K363" s="10">
        <v>9.9900000000000003E-2</v>
      </c>
      <c r="L363" s="10">
        <v>0</v>
      </c>
      <c r="M363" s="2" t="s">
        <v>23</v>
      </c>
      <c r="N363" s="2" t="s">
        <v>23</v>
      </c>
      <c r="O363" s="2" t="s">
        <v>24</v>
      </c>
      <c r="P363" s="2" t="s">
        <v>367</v>
      </c>
      <c r="Q363" s="2" t="s">
        <v>23</v>
      </c>
    </row>
    <row r="364" spans="1:17" x14ac:dyDescent="0.25">
      <c r="A364" s="2" t="s">
        <v>930</v>
      </c>
      <c r="B364" s="2" t="s">
        <v>931</v>
      </c>
      <c r="C364" s="5">
        <v>0</v>
      </c>
      <c r="D364" s="3" t="b">
        <f>FALSE()</f>
        <v>0</v>
      </c>
      <c r="E364" s="3" t="b">
        <f>FALSE()</f>
        <v>0</v>
      </c>
      <c r="F364" s="2" t="s">
        <v>23</v>
      </c>
      <c r="G364" s="2" t="s">
        <v>364</v>
      </c>
      <c r="H364" s="2" t="s">
        <v>23</v>
      </c>
      <c r="I364" s="2" t="s">
        <v>487</v>
      </c>
      <c r="J364" s="3" t="b">
        <f>TRUE()</f>
        <v>1</v>
      </c>
      <c r="K364" s="10">
        <v>0</v>
      </c>
      <c r="L364" s="10">
        <v>0</v>
      </c>
      <c r="M364" s="2" t="s">
        <v>23</v>
      </c>
      <c r="N364" s="2" t="s">
        <v>23</v>
      </c>
      <c r="O364" s="2" t="s">
        <v>24</v>
      </c>
      <c r="P364" s="2" t="s">
        <v>367</v>
      </c>
      <c r="Q364" s="2" t="s">
        <v>23</v>
      </c>
    </row>
    <row r="365" spans="1:17" x14ac:dyDescent="0.25">
      <c r="A365" s="2" t="s">
        <v>932</v>
      </c>
      <c r="B365" s="2" t="s">
        <v>933</v>
      </c>
      <c r="C365" s="5">
        <v>17040</v>
      </c>
      <c r="D365" s="3" t="b">
        <f>FALSE()</f>
        <v>0</v>
      </c>
      <c r="E365" s="3" t="b">
        <f>FALSE()</f>
        <v>0</v>
      </c>
      <c r="F365" s="2" t="s">
        <v>23</v>
      </c>
      <c r="G365" s="2" t="s">
        <v>364</v>
      </c>
      <c r="H365" s="2" t="s">
        <v>23</v>
      </c>
      <c r="I365" s="2" t="s">
        <v>487</v>
      </c>
      <c r="J365" s="3" t="b">
        <f>FALSE()</f>
        <v>0</v>
      </c>
      <c r="K365" s="10">
        <v>9.9900000000000003E-2</v>
      </c>
      <c r="L365" s="10">
        <v>0</v>
      </c>
      <c r="M365" s="2" t="s">
        <v>23</v>
      </c>
      <c r="N365" s="2" t="s">
        <v>23</v>
      </c>
      <c r="O365" s="2" t="s">
        <v>24</v>
      </c>
      <c r="P365" s="2" t="s">
        <v>367</v>
      </c>
      <c r="Q365" s="2" t="s">
        <v>23</v>
      </c>
    </row>
    <row r="366" spans="1:17" x14ac:dyDescent="0.25">
      <c r="A366" s="2" t="s">
        <v>934</v>
      </c>
      <c r="B366" s="2" t="s">
        <v>935</v>
      </c>
      <c r="C366" s="5">
        <v>0</v>
      </c>
      <c r="D366" s="3" t="b">
        <f>FALSE()</f>
        <v>0</v>
      </c>
      <c r="E366" s="3" t="b">
        <f>FALSE()</f>
        <v>0</v>
      </c>
      <c r="F366" s="2" t="s">
        <v>23</v>
      </c>
      <c r="G366" s="2" t="s">
        <v>364</v>
      </c>
      <c r="H366" s="2" t="s">
        <v>23</v>
      </c>
      <c r="I366" s="2" t="s">
        <v>487</v>
      </c>
      <c r="J366" s="3" t="b">
        <f>TRUE()</f>
        <v>1</v>
      </c>
      <c r="K366" s="10">
        <v>0</v>
      </c>
      <c r="L366" s="10">
        <v>0</v>
      </c>
      <c r="M366" s="2" t="s">
        <v>23</v>
      </c>
      <c r="N366" s="2" t="s">
        <v>23</v>
      </c>
      <c r="O366" s="2" t="s">
        <v>24</v>
      </c>
      <c r="P366" s="2" t="s">
        <v>367</v>
      </c>
      <c r="Q366" s="2" t="s">
        <v>23</v>
      </c>
    </row>
    <row r="367" spans="1:17" x14ac:dyDescent="0.25">
      <c r="A367" s="2" t="s">
        <v>936</v>
      </c>
      <c r="B367" s="2" t="s">
        <v>937</v>
      </c>
      <c r="C367" s="5">
        <v>0</v>
      </c>
      <c r="D367" s="3" t="b">
        <f>FALSE()</f>
        <v>0</v>
      </c>
      <c r="E367" s="3" t="b">
        <f>FALSE()</f>
        <v>0</v>
      </c>
      <c r="F367" s="2" t="s">
        <v>23</v>
      </c>
      <c r="G367" s="2" t="s">
        <v>364</v>
      </c>
      <c r="H367" s="2" t="s">
        <v>23</v>
      </c>
      <c r="I367" s="2" t="s">
        <v>487</v>
      </c>
      <c r="J367" s="3" t="b">
        <f>TRUE()</f>
        <v>1</v>
      </c>
      <c r="K367" s="10">
        <v>0</v>
      </c>
      <c r="L367" s="10">
        <v>0</v>
      </c>
      <c r="M367" s="2" t="s">
        <v>23</v>
      </c>
      <c r="N367" s="2" t="s">
        <v>23</v>
      </c>
      <c r="O367" s="2" t="s">
        <v>24</v>
      </c>
      <c r="P367" s="2" t="s">
        <v>367</v>
      </c>
      <c r="Q367" s="2" t="s">
        <v>23</v>
      </c>
    </row>
    <row r="368" spans="1:17" x14ac:dyDescent="0.25">
      <c r="A368" s="2" t="s">
        <v>938</v>
      </c>
      <c r="B368" s="2" t="s">
        <v>939</v>
      </c>
      <c r="C368" s="5">
        <v>0</v>
      </c>
      <c r="D368" s="3" t="b">
        <f>FALSE()</f>
        <v>0</v>
      </c>
      <c r="E368" s="3" t="b">
        <f>FALSE()</f>
        <v>0</v>
      </c>
      <c r="F368" s="2" t="s">
        <v>23</v>
      </c>
      <c r="G368" s="2" t="s">
        <v>364</v>
      </c>
      <c r="H368" s="2" t="s">
        <v>23</v>
      </c>
      <c r="I368" s="2" t="s">
        <v>487</v>
      </c>
      <c r="J368" s="3" t="b">
        <f>TRUE()</f>
        <v>1</v>
      </c>
      <c r="K368" s="10">
        <v>0</v>
      </c>
      <c r="L368" s="10">
        <v>0</v>
      </c>
      <c r="M368" s="2" t="s">
        <v>23</v>
      </c>
      <c r="N368" s="2" t="s">
        <v>940</v>
      </c>
      <c r="O368" s="2" t="s">
        <v>24</v>
      </c>
      <c r="P368" s="2" t="s">
        <v>367</v>
      </c>
      <c r="Q368" s="2" t="s">
        <v>23</v>
      </c>
    </row>
    <row r="369" spans="1:17" x14ac:dyDescent="0.25">
      <c r="A369" s="2" t="s">
        <v>941</v>
      </c>
      <c r="B369" s="2" t="s">
        <v>942</v>
      </c>
      <c r="C369" s="5">
        <v>0</v>
      </c>
      <c r="D369" s="3" t="b">
        <f>FALSE()</f>
        <v>0</v>
      </c>
      <c r="E369" s="3" t="b">
        <f>FALSE()</f>
        <v>0</v>
      </c>
      <c r="F369" s="2" t="s">
        <v>23</v>
      </c>
      <c r="G369" s="2" t="s">
        <v>364</v>
      </c>
      <c r="H369" s="2" t="s">
        <v>23</v>
      </c>
      <c r="I369" s="2" t="s">
        <v>487</v>
      </c>
      <c r="J369" s="3" t="b">
        <f>TRUE()</f>
        <v>1</v>
      </c>
      <c r="K369" s="10">
        <v>0</v>
      </c>
      <c r="L369" s="10">
        <v>0</v>
      </c>
      <c r="M369" s="2" t="s">
        <v>23</v>
      </c>
      <c r="N369" s="2" t="s">
        <v>940</v>
      </c>
      <c r="O369" s="2" t="s">
        <v>24</v>
      </c>
      <c r="P369" s="2" t="s">
        <v>367</v>
      </c>
      <c r="Q369" s="2" t="s">
        <v>23</v>
      </c>
    </row>
    <row r="370" spans="1:17" x14ac:dyDescent="0.25">
      <c r="A370" s="2" t="s">
        <v>943</v>
      </c>
      <c r="B370" s="2" t="s">
        <v>944</v>
      </c>
      <c r="C370" s="5">
        <v>0</v>
      </c>
      <c r="D370" s="3" t="b">
        <f>FALSE()</f>
        <v>0</v>
      </c>
      <c r="E370" s="3" t="b">
        <f>FALSE()</f>
        <v>0</v>
      </c>
      <c r="F370" s="2" t="s">
        <v>23</v>
      </c>
      <c r="G370" s="2" t="s">
        <v>364</v>
      </c>
      <c r="H370" s="2" t="s">
        <v>23</v>
      </c>
      <c r="I370" s="2" t="s">
        <v>487</v>
      </c>
      <c r="J370" s="3" t="b">
        <f>TRUE()</f>
        <v>1</v>
      </c>
      <c r="K370" s="10">
        <v>0</v>
      </c>
      <c r="L370" s="10">
        <v>0</v>
      </c>
      <c r="M370" s="2" t="s">
        <v>23</v>
      </c>
      <c r="N370" s="2" t="s">
        <v>940</v>
      </c>
      <c r="O370" s="2" t="s">
        <v>24</v>
      </c>
      <c r="P370" s="2" t="s">
        <v>367</v>
      </c>
      <c r="Q370" s="2" t="s">
        <v>23</v>
      </c>
    </row>
    <row r="371" spans="1:17" x14ac:dyDescent="0.25">
      <c r="A371" s="2" t="s">
        <v>945</v>
      </c>
      <c r="B371" s="2" t="s">
        <v>23</v>
      </c>
      <c r="C371" s="5">
        <v>0</v>
      </c>
      <c r="D371" s="3" t="b">
        <f>FALSE()</f>
        <v>0</v>
      </c>
      <c r="E371" s="3" t="b">
        <f>FALSE()</f>
        <v>0</v>
      </c>
      <c r="F371" s="2" t="s">
        <v>23</v>
      </c>
      <c r="G371" s="2" t="s">
        <v>364</v>
      </c>
      <c r="H371" s="2" t="s">
        <v>23</v>
      </c>
      <c r="I371" s="2" t="s">
        <v>487</v>
      </c>
      <c r="J371" s="3" t="b">
        <f>TRUE()</f>
        <v>1</v>
      </c>
      <c r="K371" s="10">
        <v>0</v>
      </c>
      <c r="L371" s="10">
        <v>0</v>
      </c>
      <c r="M371" s="2" t="s">
        <v>23</v>
      </c>
      <c r="N371" s="2" t="s">
        <v>23</v>
      </c>
      <c r="O371" s="2" t="s">
        <v>24</v>
      </c>
      <c r="P371" s="2" t="s">
        <v>367</v>
      </c>
      <c r="Q371" s="2" t="s">
        <v>23</v>
      </c>
    </row>
    <row r="372" spans="1:17" x14ac:dyDescent="0.25">
      <c r="A372" s="2" t="s">
        <v>946</v>
      </c>
      <c r="B372" s="2" t="s">
        <v>947</v>
      </c>
      <c r="C372" s="5">
        <v>187016</v>
      </c>
      <c r="D372" s="3" t="b">
        <f>FALSE()</f>
        <v>0</v>
      </c>
      <c r="E372" s="3" t="b">
        <f>FALSE()</f>
        <v>0</v>
      </c>
      <c r="F372" s="2" t="s">
        <v>23</v>
      </c>
      <c r="G372" s="2" t="s">
        <v>364</v>
      </c>
      <c r="H372" s="2" t="s">
        <v>23</v>
      </c>
      <c r="I372" s="2" t="s">
        <v>487</v>
      </c>
      <c r="J372" s="3" t="b">
        <f>FALSE()</f>
        <v>0</v>
      </c>
      <c r="K372" s="10">
        <v>1.2030000000000001E-2</v>
      </c>
      <c r="L372" s="10">
        <v>0</v>
      </c>
      <c r="M372" s="2" t="s">
        <v>23</v>
      </c>
      <c r="N372" s="2" t="s">
        <v>948</v>
      </c>
      <c r="O372" s="2" t="s">
        <v>24</v>
      </c>
      <c r="P372" s="2" t="s">
        <v>367</v>
      </c>
      <c r="Q372" s="2" t="s">
        <v>23</v>
      </c>
    </row>
    <row r="373" spans="1:17" x14ac:dyDescent="0.25">
      <c r="A373" s="2" t="s">
        <v>949</v>
      </c>
      <c r="B373" s="2" t="s">
        <v>950</v>
      </c>
      <c r="C373" s="5">
        <v>10303</v>
      </c>
      <c r="D373" s="3" t="b">
        <f>FALSE()</f>
        <v>0</v>
      </c>
      <c r="E373" s="3" t="b">
        <f>FALSE()</f>
        <v>0</v>
      </c>
      <c r="F373" s="2" t="s">
        <v>23</v>
      </c>
      <c r="G373" s="2" t="s">
        <v>364</v>
      </c>
      <c r="H373" s="2" t="s">
        <v>23</v>
      </c>
      <c r="I373" s="2" t="s">
        <v>487</v>
      </c>
      <c r="J373" s="3" t="b">
        <f>FALSE()</f>
        <v>0</v>
      </c>
      <c r="K373" s="10">
        <v>1.9470000000000001E-2</v>
      </c>
      <c r="L373" s="10">
        <v>0</v>
      </c>
      <c r="M373" s="2" t="s">
        <v>23</v>
      </c>
      <c r="N373" s="2" t="s">
        <v>948</v>
      </c>
      <c r="O373" s="2" t="s">
        <v>24</v>
      </c>
      <c r="P373" s="2" t="s">
        <v>367</v>
      </c>
      <c r="Q373" s="2" t="s">
        <v>23</v>
      </c>
    </row>
    <row r="374" spans="1:17" x14ac:dyDescent="0.25">
      <c r="A374" s="2" t="s">
        <v>951</v>
      </c>
      <c r="B374" s="2" t="s">
        <v>952</v>
      </c>
      <c r="C374" s="5">
        <v>60934</v>
      </c>
      <c r="D374" s="3" t="b">
        <f>FALSE()</f>
        <v>0</v>
      </c>
      <c r="E374" s="3" t="b">
        <f>FALSE()</f>
        <v>0</v>
      </c>
      <c r="F374" s="2" t="s">
        <v>23</v>
      </c>
      <c r="G374" s="2" t="s">
        <v>364</v>
      </c>
      <c r="H374" s="2" t="s">
        <v>23</v>
      </c>
      <c r="I374" s="2" t="s">
        <v>487</v>
      </c>
      <c r="J374" s="3" t="b">
        <f>FALSE()</f>
        <v>0</v>
      </c>
      <c r="K374" s="10">
        <v>1.4500000000000001E-2</v>
      </c>
      <c r="L374" s="10">
        <v>0</v>
      </c>
      <c r="M374" s="2" t="s">
        <v>23</v>
      </c>
      <c r="N374" s="2" t="s">
        <v>23</v>
      </c>
      <c r="O374" s="2" t="s">
        <v>24</v>
      </c>
      <c r="P374" s="2" t="s">
        <v>367</v>
      </c>
      <c r="Q374" s="2" t="s">
        <v>23</v>
      </c>
    </row>
    <row r="375" spans="1:17" x14ac:dyDescent="0.25">
      <c r="A375" s="2" t="s">
        <v>953</v>
      </c>
      <c r="B375" s="2" t="s">
        <v>954</v>
      </c>
      <c r="C375" s="5">
        <v>338691</v>
      </c>
      <c r="D375" s="3" t="b">
        <f>FALSE()</f>
        <v>0</v>
      </c>
      <c r="E375" s="3" t="b">
        <f>FALSE()</f>
        <v>0</v>
      </c>
      <c r="F375" s="2" t="s">
        <v>23</v>
      </c>
      <c r="G375" s="2" t="s">
        <v>364</v>
      </c>
      <c r="H375" s="2" t="s">
        <v>23</v>
      </c>
      <c r="I375" s="2" t="s">
        <v>487</v>
      </c>
      <c r="J375" s="3" t="b">
        <f>FALSE()</f>
        <v>0</v>
      </c>
      <c r="K375" s="10">
        <v>9.75E-3</v>
      </c>
      <c r="L375" s="10">
        <v>0</v>
      </c>
      <c r="M375" s="2" t="s">
        <v>23</v>
      </c>
      <c r="N375" s="2" t="s">
        <v>23</v>
      </c>
      <c r="O375" s="2" t="s">
        <v>24</v>
      </c>
      <c r="P375" s="2" t="s">
        <v>367</v>
      </c>
      <c r="Q375" s="2" t="s">
        <v>23</v>
      </c>
    </row>
    <row r="376" spans="1:17" x14ac:dyDescent="0.25">
      <c r="A376" s="2" t="s">
        <v>955</v>
      </c>
      <c r="B376" s="2" t="s">
        <v>956</v>
      </c>
      <c r="C376" s="5">
        <v>2572424</v>
      </c>
      <c r="D376" s="3" t="b">
        <f>FALSE()</f>
        <v>0</v>
      </c>
      <c r="E376" s="3" t="b">
        <f>FALSE()</f>
        <v>0</v>
      </c>
      <c r="F376" s="2" t="s">
        <v>23</v>
      </c>
      <c r="G376" s="2" t="s">
        <v>364</v>
      </c>
      <c r="H376" s="2" t="s">
        <v>23</v>
      </c>
      <c r="I376" s="2" t="s">
        <v>487</v>
      </c>
      <c r="J376" s="3" t="b">
        <f>FALSE()</f>
        <v>0</v>
      </c>
      <c r="K376" s="10">
        <v>5.3431100000000002</v>
      </c>
      <c r="L376" s="10">
        <v>0</v>
      </c>
      <c r="M376" s="2" t="s">
        <v>23</v>
      </c>
      <c r="N376" s="2" t="s">
        <v>23</v>
      </c>
      <c r="O376" s="2" t="s">
        <v>24</v>
      </c>
      <c r="P376" s="2" t="s">
        <v>367</v>
      </c>
      <c r="Q376" s="2" t="s">
        <v>23</v>
      </c>
    </row>
    <row r="377" spans="1:17" x14ac:dyDescent="0.25">
      <c r="A377" s="2" t="s">
        <v>957</v>
      </c>
      <c r="B377" s="2" t="s">
        <v>958</v>
      </c>
      <c r="C377" s="5">
        <v>1927880.4</v>
      </c>
      <c r="D377" s="3" t="b">
        <f>FALSE()</f>
        <v>0</v>
      </c>
      <c r="E377" s="3" t="b">
        <f>FALSE()</f>
        <v>0</v>
      </c>
      <c r="F377" s="2" t="s">
        <v>23</v>
      </c>
      <c r="G377" s="2" t="s">
        <v>364</v>
      </c>
      <c r="H377" s="2" t="s">
        <v>23</v>
      </c>
      <c r="I377" s="2" t="s">
        <v>487</v>
      </c>
      <c r="J377" s="3" t="b">
        <f>FALSE()</f>
        <v>0</v>
      </c>
      <c r="K377" s="10">
        <v>5.3431100000000002</v>
      </c>
      <c r="L377" s="10">
        <v>0</v>
      </c>
      <c r="M377" s="2" t="s">
        <v>23</v>
      </c>
      <c r="N377" s="2" t="s">
        <v>23</v>
      </c>
      <c r="O377" s="2" t="s">
        <v>24</v>
      </c>
      <c r="P377" s="2" t="s">
        <v>367</v>
      </c>
      <c r="Q377" s="2" t="s">
        <v>23</v>
      </c>
    </row>
    <row r="378" spans="1:17" x14ac:dyDescent="0.25">
      <c r="A378" s="2" t="s">
        <v>959</v>
      </c>
      <c r="B378" s="2" t="s">
        <v>960</v>
      </c>
      <c r="C378" s="5">
        <v>1267</v>
      </c>
      <c r="D378" s="3" t="b">
        <f>FALSE()</f>
        <v>0</v>
      </c>
      <c r="E378" s="3" t="b">
        <f>FALSE()</f>
        <v>0</v>
      </c>
      <c r="F378" s="2" t="s">
        <v>23</v>
      </c>
      <c r="G378" s="2" t="s">
        <v>364</v>
      </c>
      <c r="H378" s="2" t="s">
        <v>23</v>
      </c>
      <c r="I378" s="2" t="s">
        <v>487</v>
      </c>
      <c r="J378" s="3" t="b">
        <f>FALSE()</f>
        <v>0</v>
      </c>
      <c r="K378" s="10">
        <v>0.43376999999999999</v>
      </c>
      <c r="L378" s="10">
        <v>0</v>
      </c>
      <c r="M378" s="2" t="s">
        <v>23</v>
      </c>
      <c r="N378" s="2" t="s">
        <v>961</v>
      </c>
      <c r="O378" s="2" t="s">
        <v>24</v>
      </c>
      <c r="P378" s="2" t="s">
        <v>367</v>
      </c>
      <c r="Q378" s="2" t="s">
        <v>23</v>
      </c>
    </row>
    <row r="379" spans="1:17" x14ac:dyDescent="0.25">
      <c r="A379" s="2" t="s">
        <v>962</v>
      </c>
      <c r="B379" s="2" t="s">
        <v>963</v>
      </c>
      <c r="C379" s="5">
        <v>952</v>
      </c>
      <c r="D379" s="3" t="b">
        <f>FALSE()</f>
        <v>0</v>
      </c>
      <c r="E379" s="3" t="b">
        <f>FALSE()</f>
        <v>0</v>
      </c>
      <c r="F379" s="2" t="s">
        <v>23</v>
      </c>
      <c r="G379" s="2" t="s">
        <v>364</v>
      </c>
      <c r="H379" s="2" t="s">
        <v>23</v>
      </c>
      <c r="I379" s="2" t="s">
        <v>487</v>
      </c>
      <c r="J379" s="3" t="b">
        <f>FALSE()</f>
        <v>0</v>
      </c>
      <c r="K379" s="10">
        <v>0.23380000000000001</v>
      </c>
      <c r="L379" s="10">
        <v>0</v>
      </c>
      <c r="M379" s="2" t="s">
        <v>23</v>
      </c>
      <c r="N379" s="2" t="s">
        <v>940</v>
      </c>
      <c r="O379" s="2" t="s">
        <v>24</v>
      </c>
      <c r="P379" s="2" t="s">
        <v>367</v>
      </c>
      <c r="Q379" s="2" t="s">
        <v>23</v>
      </c>
    </row>
    <row r="380" spans="1:17" x14ac:dyDescent="0.25">
      <c r="A380" s="2" t="s">
        <v>964</v>
      </c>
      <c r="B380" s="2" t="s">
        <v>965</v>
      </c>
      <c r="C380" s="5">
        <v>36750</v>
      </c>
      <c r="D380" s="3" t="b">
        <f>FALSE()</f>
        <v>0</v>
      </c>
      <c r="E380" s="3" t="b">
        <f>FALSE()</f>
        <v>0</v>
      </c>
      <c r="F380" s="2" t="s">
        <v>23</v>
      </c>
      <c r="G380" s="2" t="s">
        <v>364</v>
      </c>
      <c r="H380" s="2" t="s">
        <v>23</v>
      </c>
      <c r="I380" s="2" t="s">
        <v>487</v>
      </c>
      <c r="J380" s="3" t="b">
        <f>FALSE()</f>
        <v>0</v>
      </c>
      <c r="K380" s="10">
        <v>9.4600000000000004E-2</v>
      </c>
      <c r="L380" s="10">
        <v>0</v>
      </c>
      <c r="M380" s="2" t="s">
        <v>23</v>
      </c>
      <c r="N380" s="2" t="s">
        <v>940</v>
      </c>
      <c r="O380" s="2" t="s">
        <v>24</v>
      </c>
      <c r="P380" s="2" t="s">
        <v>367</v>
      </c>
      <c r="Q380" s="2" t="s">
        <v>23</v>
      </c>
    </row>
    <row r="381" spans="1:17" x14ac:dyDescent="0.25">
      <c r="A381" s="2" t="s">
        <v>966</v>
      </c>
      <c r="B381" s="2" t="s">
        <v>967</v>
      </c>
      <c r="C381" s="5">
        <v>0</v>
      </c>
      <c r="D381" s="3" t="b">
        <f>FALSE()</f>
        <v>0</v>
      </c>
      <c r="E381" s="3" t="b">
        <f>FALSE()</f>
        <v>0</v>
      </c>
      <c r="F381" s="2" t="s">
        <v>23</v>
      </c>
      <c r="G381" s="2" t="s">
        <v>364</v>
      </c>
      <c r="H381" s="2" t="s">
        <v>23</v>
      </c>
      <c r="I381" s="2" t="s">
        <v>487</v>
      </c>
      <c r="J381" s="3" t="b">
        <f>TRUE()</f>
        <v>1</v>
      </c>
      <c r="K381" s="10">
        <v>0</v>
      </c>
      <c r="L381" s="10">
        <v>0</v>
      </c>
      <c r="M381" s="2" t="s">
        <v>23</v>
      </c>
      <c r="N381" s="2" t="s">
        <v>940</v>
      </c>
      <c r="O381" s="2" t="s">
        <v>24</v>
      </c>
      <c r="P381" s="2" t="s">
        <v>367</v>
      </c>
      <c r="Q381" s="2" t="s">
        <v>23</v>
      </c>
    </row>
    <row r="382" spans="1:17" x14ac:dyDescent="0.25">
      <c r="A382" s="2" t="s">
        <v>968</v>
      </c>
      <c r="B382" s="2" t="s">
        <v>969</v>
      </c>
      <c r="C382" s="5">
        <v>10333</v>
      </c>
      <c r="D382" s="3" t="b">
        <f>FALSE()</f>
        <v>0</v>
      </c>
      <c r="E382" s="3" t="b">
        <f>FALSE()</f>
        <v>0</v>
      </c>
      <c r="F382" s="2" t="s">
        <v>23</v>
      </c>
      <c r="G382" s="2" t="s">
        <v>364</v>
      </c>
      <c r="H382" s="2" t="s">
        <v>23</v>
      </c>
      <c r="I382" s="2" t="s">
        <v>487</v>
      </c>
      <c r="J382" s="3" t="b">
        <f>TRUE()</f>
        <v>1</v>
      </c>
      <c r="K382" s="10">
        <v>6.3460000000000003E-2</v>
      </c>
      <c r="L382" s="10">
        <v>0</v>
      </c>
      <c r="M382" s="2" t="s">
        <v>23</v>
      </c>
      <c r="N382" s="2" t="s">
        <v>970</v>
      </c>
      <c r="O382" s="2" t="s">
        <v>24</v>
      </c>
      <c r="P382" s="2" t="s">
        <v>367</v>
      </c>
      <c r="Q382" s="2" t="s">
        <v>23</v>
      </c>
    </row>
    <row r="383" spans="1:17" x14ac:dyDescent="0.25">
      <c r="A383" s="2" t="s">
        <v>971</v>
      </c>
      <c r="B383" s="2" t="s">
        <v>972</v>
      </c>
      <c r="C383" s="5">
        <v>0</v>
      </c>
      <c r="D383" s="3" t="b">
        <f>FALSE()</f>
        <v>0</v>
      </c>
      <c r="E383" s="3" t="b">
        <f>FALSE()</f>
        <v>0</v>
      </c>
      <c r="F383" s="2" t="s">
        <v>23</v>
      </c>
      <c r="G383" s="2" t="s">
        <v>364</v>
      </c>
      <c r="H383" s="2" t="s">
        <v>23</v>
      </c>
      <c r="I383" s="2" t="s">
        <v>487</v>
      </c>
      <c r="J383" s="3" t="b">
        <f>TRUE()</f>
        <v>1</v>
      </c>
      <c r="K383" s="10">
        <v>5.5E-2</v>
      </c>
      <c r="L383" s="10">
        <v>0</v>
      </c>
      <c r="M383" s="2" t="s">
        <v>23</v>
      </c>
      <c r="N383" s="2" t="s">
        <v>970</v>
      </c>
      <c r="O383" s="2" t="s">
        <v>24</v>
      </c>
      <c r="P383" s="2" t="s">
        <v>367</v>
      </c>
      <c r="Q383" s="2" t="s">
        <v>23</v>
      </c>
    </row>
    <row r="384" spans="1:17" x14ac:dyDescent="0.25">
      <c r="A384" s="2" t="s">
        <v>973</v>
      </c>
      <c r="B384" s="2" t="s">
        <v>974</v>
      </c>
      <c r="C384" s="5">
        <v>19024</v>
      </c>
      <c r="D384" s="3" t="b">
        <f>FALSE()</f>
        <v>0</v>
      </c>
      <c r="E384" s="3" t="b">
        <f>FALSE()</f>
        <v>0</v>
      </c>
      <c r="F384" s="2" t="s">
        <v>23</v>
      </c>
      <c r="G384" s="2" t="s">
        <v>364</v>
      </c>
      <c r="H384" s="2" t="s">
        <v>23</v>
      </c>
      <c r="I384" s="2" t="s">
        <v>487</v>
      </c>
      <c r="J384" s="3" t="b">
        <f>FALSE()</f>
        <v>0</v>
      </c>
      <c r="K384" s="10">
        <v>7.2529999999999997E-2</v>
      </c>
      <c r="L384" s="10">
        <v>0</v>
      </c>
      <c r="M384" s="2" t="s">
        <v>23</v>
      </c>
      <c r="N384" s="2" t="s">
        <v>970</v>
      </c>
      <c r="O384" s="2" t="s">
        <v>24</v>
      </c>
      <c r="P384" s="2" t="s">
        <v>367</v>
      </c>
      <c r="Q384" s="2" t="s">
        <v>23</v>
      </c>
    </row>
    <row r="385" spans="1:17" x14ac:dyDescent="0.25">
      <c r="A385" s="2" t="s">
        <v>975</v>
      </c>
      <c r="B385" s="2" t="s">
        <v>976</v>
      </c>
      <c r="C385" s="5">
        <v>249</v>
      </c>
      <c r="D385" s="3" t="b">
        <f>FALSE()</f>
        <v>0</v>
      </c>
      <c r="E385" s="3" t="b">
        <f>FALSE()</f>
        <v>0</v>
      </c>
      <c r="F385" s="2" t="s">
        <v>23</v>
      </c>
      <c r="G385" s="2" t="s">
        <v>364</v>
      </c>
      <c r="H385" s="2" t="s">
        <v>23</v>
      </c>
      <c r="I385" s="2" t="s">
        <v>487</v>
      </c>
      <c r="J385" s="3" t="b">
        <f>TRUE()</f>
        <v>1</v>
      </c>
      <c r="K385" s="10">
        <v>6.8629999999999997E-2</v>
      </c>
      <c r="L385" s="10">
        <v>0</v>
      </c>
      <c r="M385" s="2" t="s">
        <v>23</v>
      </c>
      <c r="N385" s="2" t="s">
        <v>970</v>
      </c>
      <c r="O385" s="2" t="s">
        <v>24</v>
      </c>
      <c r="P385" s="2" t="s">
        <v>367</v>
      </c>
      <c r="Q385" s="2" t="s">
        <v>23</v>
      </c>
    </row>
    <row r="386" spans="1:17" x14ac:dyDescent="0.25">
      <c r="A386" s="2" t="s">
        <v>977</v>
      </c>
      <c r="B386" s="2" t="s">
        <v>978</v>
      </c>
      <c r="C386" s="5">
        <v>481</v>
      </c>
      <c r="D386" s="3" t="b">
        <f>FALSE()</f>
        <v>0</v>
      </c>
      <c r="E386" s="3" t="b">
        <f>FALSE()</f>
        <v>0</v>
      </c>
      <c r="F386" s="2" t="s">
        <v>23</v>
      </c>
      <c r="G386" s="2" t="s">
        <v>364</v>
      </c>
      <c r="H386" s="2" t="s">
        <v>23</v>
      </c>
      <c r="I386" s="2" t="s">
        <v>487</v>
      </c>
      <c r="J386" s="3" t="b">
        <f>TRUE()</f>
        <v>1</v>
      </c>
      <c r="K386" s="10">
        <v>6.8650000000000003E-2</v>
      </c>
      <c r="L386" s="10">
        <v>0</v>
      </c>
      <c r="M386" s="2" t="s">
        <v>23</v>
      </c>
      <c r="N386" s="2" t="s">
        <v>970</v>
      </c>
      <c r="O386" s="2" t="s">
        <v>24</v>
      </c>
      <c r="P386" s="2" t="s">
        <v>367</v>
      </c>
      <c r="Q386" s="2" t="s">
        <v>23</v>
      </c>
    </row>
    <row r="387" spans="1:17" x14ac:dyDescent="0.25">
      <c r="A387" s="2" t="s">
        <v>979</v>
      </c>
      <c r="B387" s="2" t="s">
        <v>980</v>
      </c>
      <c r="C387" s="5">
        <v>0</v>
      </c>
      <c r="D387" s="3" t="b">
        <f>FALSE()</f>
        <v>0</v>
      </c>
      <c r="E387" s="3" t="b">
        <f>FALSE()</f>
        <v>0</v>
      </c>
      <c r="F387" s="2" t="s">
        <v>23</v>
      </c>
      <c r="G387" s="2" t="s">
        <v>364</v>
      </c>
      <c r="H387" s="2" t="s">
        <v>23</v>
      </c>
      <c r="I387" s="2" t="s">
        <v>487</v>
      </c>
      <c r="J387" s="3" t="b">
        <f>TRUE()</f>
        <v>1</v>
      </c>
      <c r="K387" s="10">
        <v>5.4960000000000002E-2</v>
      </c>
      <c r="L387" s="10">
        <v>0</v>
      </c>
      <c r="M387" s="2" t="s">
        <v>23</v>
      </c>
      <c r="N387" s="2" t="s">
        <v>970</v>
      </c>
      <c r="O387" s="2" t="s">
        <v>24</v>
      </c>
      <c r="P387" s="2" t="s">
        <v>367</v>
      </c>
      <c r="Q387" s="2" t="s">
        <v>23</v>
      </c>
    </row>
    <row r="388" spans="1:17" x14ac:dyDescent="0.25">
      <c r="A388" s="2" t="s">
        <v>981</v>
      </c>
      <c r="B388" s="2" t="s">
        <v>982</v>
      </c>
      <c r="C388" s="5">
        <v>1282</v>
      </c>
      <c r="D388" s="3" t="b">
        <f>FALSE()</f>
        <v>0</v>
      </c>
      <c r="E388" s="3" t="b">
        <f>FALSE()</f>
        <v>0</v>
      </c>
      <c r="F388" s="2" t="s">
        <v>23</v>
      </c>
      <c r="G388" s="2" t="s">
        <v>364</v>
      </c>
      <c r="H388" s="2" t="s">
        <v>23</v>
      </c>
      <c r="I388" s="2" t="s">
        <v>487</v>
      </c>
      <c r="J388" s="3" t="b">
        <f>TRUE()</f>
        <v>1</v>
      </c>
      <c r="K388" s="10">
        <v>8.3070000000000005E-2</v>
      </c>
      <c r="L388" s="10">
        <v>0</v>
      </c>
      <c r="M388" s="2" t="s">
        <v>23</v>
      </c>
      <c r="N388" s="2" t="s">
        <v>970</v>
      </c>
      <c r="O388" s="2" t="s">
        <v>24</v>
      </c>
      <c r="P388" s="2" t="s">
        <v>367</v>
      </c>
      <c r="Q388" s="2" t="s">
        <v>23</v>
      </c>
    </row>
    <row r="389" spans="1:17" x14ac:dyDescent="0.25">
      <c r="A389" s="2" t="s">
        <v>983</v>
      </c>
      <c r="B389" s="2" t="s">
        <v>984</v>
      </c>
      <c r="C389" s="5">
        <v>0</v>
      </c>
      <c r="D389" s="3" t="b">
        <f>FALSE()</f>
        <v>0</v>
      </c>
      <c r="E389" s="3" t="b">
        <f>FALSE()</f>
        <v>0</v>
      </c>
      <c r="F389" s="2" t="s">
        <v>23</v>
      </c>
      <c r="G389" s="2" t="s">
        <v>364</v>
      </c>
      <c r="H389" s="2" t="s">
        <v>23</v>
      </c>
      <c r="I389" s="2" t="s">
        <v>487</v>
      </c>
      <c r="J389" s="3" t="b">
        <f>TRUE()</f>
        <v>1</v>
      </c>
      <c r="K389" s="10">
        <v>0</v>
      </c>
      <c r="L389" s="10">
        <v>0</v>
      </c>
      <c r="M389" s="2" t="s">
        <v>23</v>
      </c>
      <c r="N389" s="2" t="s">
        <v>970</v>
      </c>
      <c r="O389" s="2" t="s">
        <v>24</v>
      </c>
      <c r="P389" s="2" t="s">
        <v>367</v>
      </c>
      <c r="Q389" s="2" t="s">
        <v>23</v>
      </c>
    </row>
    <row r="390" spans="1:17" x14ac:dyDescent="0.25">
      <c r="A390" s="2" t="s">
        <v>985</v>
      </c>
      <c r="B390" s="2" t="s">
        <v>986</v>
      </c>
      <c r="C390" s="5">
        <v>0</v>
      </c>
      <c r="D390" s="3" t="b">
        <f>FALSE()</f>
        <v>0</v>
      </c>
      <c r="E390" s="3" t="b">
        <f>FALSE()</f>
        <v>0</v>
      </c>
      <c r="F390" s="2" t="s">
        <v>23</v>
      </c>
      <c r="G390" s="2" t="s">
        <v>364</v>
      </c>
      <c r="H390" s="2" t="s">
        <v>23</v>
      </c>
      <c r="I390" s="2" t="s">
        <v>487</v>
      </c>
      <c r="J390" s="3" t="b">
        <f>TRUE()</f>
        <v>1</v>
      </c>
      <c r="K390" s="10">
        <v>0</v>
      </c>
      <c r="L390" s="10">
        <v>0</v>
      </c>
      <c r="M390" s="2" t="s">
        <v>23</v>
      </c>
      <c r="N390" s="2" t="s">
        <v>970</v>
      </c>
      <c r="O390" s="2" t="s">
        <v>24</v>
      </c>
      <c r="P390" s="2" t="s">
        <v>367</v>
      </c>
      <c r="Q390" s="2" t="s">
        <v>23</v>
      </c>
    </row>
    <row r="391" spans="1:17" x14ac:dyDescent="0.25">
      <c r="A391" s="2" t="s">
        <v>987</v>
      </c>
      <c r="B391" s="2" t="s">
        <v>988</v>
      </c>
      <c r="C391" s="5">
        <v>253</v>
      </c>
      <c r="D391" s="3" t="b">
        <f>FALSE()</f>
        <v>0</v>
      </c>
      <c r="E391" s="3" t="b">
        <f>FALSE()</f>
        <v>0</v>
      </c>
      <c r="F391" s="2" t="s">
        <v>23</v>
      </c>
      <c r="G391" s="2" t="s">
        <v>364</v>
      </c>
      <c r="H391" s="2" t="s">
        <v>23</v>
      </c>
      <c r="I391" s="2" t="s">
        <v>487</v>
      </c>
      <c r="J391" s="3" t="b">
        <f>TRUE()</f>
        <v>1</v>
      </c>
      <c r="K391" s="10">
        <v>6.1260000000000002E-2</v>
      </c>
      <c r="L391" s="10">
        <v>0</v>
      </c>
      <c r="M391" s="2" t="s">
        <v>23</v>
      </c>
      <c r="N391" s="2" t="s">
        <v>970</v>
      </c>
      <c r="O391" s="2" t="s">
        <v>24</v>
      </c>
      <c r="P391" s="2" t="s">
        <v>367</v>
      </c>
      <c r="Q391" s="2" t="s">
        <v>23</v>
      </c>
    </row>
    <row r="392" spans="1:17" x14ac:dyDescent="0.25">
      <c r="A392" s="2" t="s">
        <v>989</v>
      </c>
      <c r="B392" s="2" t="s">
        <v>990</v>
      </c>
      <c r="C392" s="5">
        <v>329</v>
      </c>
      <c r="D392" s="3" t="b">
        <f>FALSE()</f>
        <v>0</v>
      </c>
      <c r="E392" s="3" t="b">
        <f>FALSE()</f>
        <v>0</v>
      </c>
      <c r="F392" s="2" t="s">
        <v>23</v>
      </c>
      <c r="G392" s="2" t="s">
        <v>364</v>
      </c>
      <c r="H392" s="2" t="s">
        <v>23</v>
      </c>
      <c r="I392" s="2" t="s">
        <v>487</v>
      </c>
      <c r="J392" s="3" t="b">
        <f>TRUE()</f>
        <v>1</v>
      </c>
      <c r="K392" s="10">
        <v>9.3399999999999997E-2</v>
      </c>
      <c r="L392" s="10">
        <v>0</v>
      </c>
      <c r="M392" s="2" t="s">
        <v>23</v>
      </c>
      <c r="N392" s="2" t="s">
        <v>23</v>
      </c>
      <c r="O392" s="2" t="s">
        <v>24</v>
      </c>
      <c r="P392" s="2" t="s">
        <v>367</v>
      </c>
      <c r="Q392" s="2" t="s">
        <v>23</v>
      </c>
    </row>
    <row r="393" spans="1:17" x14ac:dyDescent="0.25">
      <c r="A393" s="2" t="s">
        <v>991</v>
      </c>
      <c r="B393" s="2" t="s">
        <v>992</v>
      </c>
      <c r="C393" s="5">
        <v>461</v>
      </c>
      <c r="D393" s="3" t="b">
        <f>FALSE()</f>
        <v>0</v>
      </c>
      <c r="E393" s="3" t="b">
        <f>FALSE()</f>
        <v>0</v>
      </c>
      <c r="F393" s="2" t="s">
        <v>23</v>
      </c>
      <c r="G393" s="2" t="s">
        <v>364</v>
      </c>
      <c r="H393" s="2" t="s">
        <v>23</v>
      </c>
      <c r="I393" s="2" t="s">
        <v>487</v>
      </c>
      <c r="J393" s="3" t="b">
        <f>FALSE()</f>
        <v>0</v>
      </c>
      <c r="K393" s="10">
        <v>9.3420000000000003E-2</v>
      </c>
      <c r="L393" s="10">
        <v>0</v>
      </c>
      <c r="M393" s="2" t="s">
        <v>23</v>
      </c>
      <c r="N393" s="2" t="s">
        <v>23</v>
      </c>
      <c r="O393" s="2" t="s">
        <v>24</v>
      </c>
      <c r="P393" s="2" t="s">
        <v>367</v>
      </c>
      <c r="Q393" s="2" t="s">
        <v>23</v>
      </c>
    </row>
    <row r="394" spans="1:17" x14ac:dyDescent="0.25">
      <c r="A394" s="2" t="s">
        <v>993</v>
      </c>
      <c r="B394" s="2" t="s">
        <v>994</v>
      </c>
      <c r="C394" s="5">
        <v>2283</v>
      </c>
      <c r="D394" s="3" t="b">
        <f>FALSE()</f>
        <v>0</v>
      </c>
      <c r="E394" s="3" t="b">
        <f>FALSE()</f>
        <v>0</v>
      </c>
      <c r="F394" s="2" t="s">
        <v>23</v>
      </c>
      <c r="G394" s="2" t="s">
        <v>364</v>
      </c>
      <c r="H394" s="2" t="s">
        <v>23</v>
      </c>
      <c r="I394" s="2" t="s">
        <v>487</v>
      </c>
      <c r="J394" s="3" t="b">
        <f>TRUE()</f>
        <v>1</v>
      </c>
      <c r="K394" s="10">
        <v>6.5110000000000001E-2</v>
      </c>
      <c r="L394" s="10">
        <v>0</v>
      </c>
      <c r="M394" s="2" t="s">
        <v>23</v>
      </c>
      <c r="N394" s="2" t="s">
        <v>23</v>
      </c>
      <c r="O394" s="2" t="s">
        <v>24</v>
      </c>
      <c r="P394" s="2" t="s">
        <v>367</v>
      </c>
      <c r="Q394" s="2" t="s">
        <v>23</v>
      </c>
    </row>
    <row r="395" spans="1:17" x14ac:dyDescent="0.25">
      <c r="A395" s="2" t="s">
        <v>995</v>
      </c>
      <c r="B395" s="2" t="s">
        <v>996</v>
      </c>
      <c r="C395" s="5">
        <v>768</v>
      </c>
      <c r="D395" s="3" t="b">
        <f>FALSE()</f>
        <v>0</v>
      </c>
      <c r="E395" s="3" t="b">
        <f>FALSE()</f>
        <v>0</v>
      </c>
      <c r="F395" s="2" t="s">
        <v>23</v>
      </c>
      <c r="G395" s="2" t="s">
        <v>364</v>
      </c>
      <c r="H395" s="2" t="s">
        <v>23</v>
      </c>
      <c r="I395" s="2" t="s">
        <v>487</v>
      </c>
      <c r="J395" s="3" t="b">
        <f>FALSE()</f>
        <v>0</v>
      </c>
      <c r="K395" s="10">
        <v>7.2300000000000003E-2</v>
      </c>
      <c r="L395" s="10">
        <v>0</v>
      </c>
      <c r="M395" s="2" t="s">
        <v>23</v>
      </c>
      <c r="N395" s="2" t="s">
        <v>23</v>
      </c>
      <c r="O395" s="2" t="s">
        <v>24</v>
      </c>
      <c r="P395" s="2" t="s">
        <v>367</v>
      </c>
      <c r="Q395" s="2" t="s">
        <v>23</v>
      </c>
    </row>
    <row r="396" spans="1:17" x14ac:dyDescent="0.25">
      <c r="A396" s="2" t="s">
        <v>997</v>
      </c>
      <c r="B396" s="2" t="s">
        <v>998</v>
      </c>
      <c r="C396" s="5">
        <v>343</v>
      </c>
      <c r="D396" s="3" t="b">
        <f>FALSE()</f>
        <v>0</v>
      </c>
      <c r="E396" s="3" t="b">
        <f>FALSE()</f>
        <v>0</v>
      </c>
      <c r="F396" s="2" t="s">
        <v>23</v>
      </c>
      <c r="G396" s="2" t="s">
        <v>364</v>
      </c>
      <c r="H396" s="2" t="s">
        <v>23</v>
      </c>
      <c r="I396" s="2" t="s">
        <v>487</v>
      </c>
      <c r="J396" s="3" t="b">
        <f>TRUE()</f>
        <v>1</v>
      </c>
      <c r="K396" s="10">
        <v>0</v>
      </c>
      <c r="L396" s="10">
        <v>0</v>
      </c>
      <c r="M396" s="2" t="s">
        <v>23</v>
      </c>
      <c r="N396" s="2" t="s">
        <v>23</v>
      </c>
      <c r="O396" s="2" t="s">
        <v>24</v>
      </c>
      <c r="P396" s="2" t="s">
        <v>367</v>
      </c>
      <c r="Q396" s="2" t="s">
        <v>23</v>
      </c>
    </row>
    <row r="397" spans="1:17" x14ac:dyDescent="0.25">
      <c r="A397" s="2" t="s">
        <v>999</v>
      </c>
      <c r="B397" s="2" t="s">
        <v>1000</v>
      </c>
      <c r="C397" s="5">
        <v>318</v>
      </c>
      <c r="D397" s="3" t="b">
        <f>FALSE()</f>
        <v>0</v>
      </c>
      <c r="E397" s="3" t="b">
        <f>FALSE()</f>
        <v>0</v>
      </c>
      <c r="F397" s="2" t="s">
        <v>23</v>
      </c>
      <c r="G397" s="2" t="s">
        <v>364</v>
      </c>
      <c r="H397" s="2" t="s">
        <v>23</v>
      </c>
      <c r="I397" s="2" t="s">
        <v>487</v>
      </c>
      <c r="J397" s="3" t="b">
        <f>TRUE()</f>
        <v>1</v>
      </c>
      <c r="K397" s="10">
        <v>5.645E-2</v>
      </c>
      <c r="L397" s="10">
        <v>0</v>
      </c>
      <c r="M397" s="2" t="s">
        <v>23</v>
      </c>
      <c r="N397" s="2" t="s">
        <v>23</v>
      </c>
      <c r="O397" s="2" t="s">
        <v>24</v>
      </c>
      <c r="P397" s="2" t="s">
        <v>367</v>
      </c>
      <c r="Q397" s="2" t="s">
        <v>23</v>
      </c>
    </row>
    <row r="398" spans="1:17" x14ac:dyDescent="0.25">
      <c r="A398" s="2" t="s">
        <v>1001</v>
      </c>
      <c r="B398" s="2" t="s">
        <v>1002</v>
      </c>
      <c r="C398" s="5">
        <v>1600</v>
      </c>
      <c r="D398" s="3" t="b">
        <f>FALSE()</f>
        <v>0</v>
      </c>
      <c r="E398" s="3" t="b">
        <f>FALSE()</f>
        <v>0</v>
      </c>
      <c r="F398" s="2" t="s">
        <v>23</v>
      </c>
      <c r="G398" s="2" t="s">
        <v>364</v>
      </c>
      <c r="H398" s="2" t="s">
        <v>23</v>
      </c>
      <c r="I398" s="2" t="s">
        <v>487</v>
      </c>
      <c r="J398" s="3" t="b">
        <f>TRUE()</f>
        <v>1</v>
      </c>
      <c r="K398" s="10">
        <v>6.5110000000000001E-2</v>
      </c>
      <c r="L398" s="10">
        <v>0</v>
      </c>
      <c r="M398" s="2" t="s">
        <v>23</v>
      </c>
      <c r="N398" s="2" t="s">
        <v>23</v>
      </c>
      <c r="O398" s="2" t="s">
        <v>24</v>
      </c>
      <c r="P398" s="2" t="s">
        <v>367</v>
      </c>
      <c r="Q398" s="2" t="s">
        <v>23</v>
      </c>
    </row>
    <row r="399" spans="1:17" x14ac:dyDescent="0.25">
      <c r="A399" s="2" t="s">
        <v>1003</v>
      </c>
      <c r="B399" s="2" t="s">
        <v>1004</v>
      </c>
      <c r="C399" s="5">
        <v>0</v>
      </c>
      <c r="D399" s="3" t="b">
        <f>FALSE()</f>
        <v>0</v>
      </c>
      <c r="E399" s="3" t="b">
        <f>FALSE()</f>
        <v>0</v>
      </c>
      <c r="F399" s="2" t="s">
        <v>23</v>
      </c>
      <c r="G399" s="2" t="s">
        <v>364</v>
      </c>
      <c r="H399" s="2" t="s">
        <v>23</v>
      </c>
      <c r="I399" s="2" t="s">
        <v>487</v>
      </c>
      <c r="J399" s="3" t="b">
        <f>TRUE()</f>
        <v>1</v>
      </c>
      <c r="K399" s="10">
        <v>0</v>
      </c>
      <c r="L399" s="10">
        <v>0</v>
      </c>
      <c r="M399" s="2" t="s">
        <v>23</v>
      </c>
      <c r="N399" s="2" t="s">
        <v>23</v>
      </c>
      <c r="O399" s="2" t="s">
        <v>24</v>
      </c>
      <c r="P399" s="2" t="s">
        <v>367</v>
      </c>
      <c r="Q399" s="2" t="s">
        <v>23</v>
      </c>
    </row>
    <row r="400" spans="1:17" x14ac:dyDescent="0.25">
      <c r="A400" s="2" t="s">
        <v>1005</v>
      </c>
      <c r="B400" s="2" t="s">
        <v>1006</v>
      </c>
      <c r="C400" s="5">
        <v>100</v>
      </c>
      <c r="D400" s="3" t="b">
        <f>FALSE()</f>
        <v>0</v>
      </c>
      <c r="E400" s="3" t="b">
        <f>FALSE()</f>
        <v>0</v>
      </c>
      <c r="F400" s="2" t="s">
        <v>23</v>
      </c>
      <c r="G400" s="2" t="s">
        <v>364</v>
      </c>
      <c r="H400" s="2" t="s">
        <v>23</v>
      </c>
      <c r="I400" s="2" t="s">
        <v>487</v>
      </c>
      <c r="J400" s="3" t="b">
        <f>TRUE()</f>
        <v>1</v>
      </c>
      <c r="K400" s="10">
        <v>6.5100000000000005E-2</v>
      </c>
      <c r="L400" s="10">
        <v>0</v>
      </c>
      <c r="M400" s="2" t="s">
        <v>23</v>
      </c>
      <c r="N400" s="2" t="s">
        <v>23</v>
      </c>
      <c r="O400" s="2" t="s">
        <v>24</v>
      </c>
      <c r="P400" s="2" t="s">
        <v>367</v>
      </c>
      <c r="Q400" s="2" t="s">
        <v>23</v>
      </c>
    </row>
    <row r="401" spans="1:17" x14ac:dyDescent="0.25">
      <c r="A401" s="2" t="s">
        <v>1007</v>
      </c>
      <c r="B401" s="2" t="s">
        <v>1008</v>
      </c>
      <c r="C401" s="5">
        <v>100</v>
      </c>
      <c r="D401" s="3" t="b">
        <f>FALSE()</f>
        <v>0</v>
      </c>
      <c r="E401" s="3" t="b">
        <f>FALSE()</f>
        <v>0</v>
      </c>
      <c r="F401" s="2" t="s">
        <v>23</v>
      </c>
      <c r="G401" s="2" t="s">
        <v>364</v>
      </c>
      <c r="H401" s="2" t="s">
        <v>23</v>
      </c>
      <c r="I401" s="2" t="s">
        <v>487</v>
      </c>
      <c r="J401" s="3" t="b">
        <f>TRUE()</f>
        <v>1</v>
      </c>
      <c r="K401" s="10">
        <v>0.23330000000000001</v>
      </c>
      <c r="L401" s="10">
        <v>0</v>
      </c>
      <c r="M401" s="2" t="s">
        <v>23</v>
      </c>
      <c r="N401" s="2" t="s">
        <v>23</v>
      </c>
      <c r="O401" s="2" t="s">
        <v>24</v>
      </c>
      <c r="P401" s="2" t="s">
        <v>367</v>
      </c>
      <c r="Q401" s="2" t="s">
        <v>23</v>
      </c>
    </row>
    <row r="402" spans="1:17" x14ac:dyDescent="0.25">
      <c r="A402" s="2" t="s">
        <v>1009</v>
      </c>
      <c r="B402" s="2" t="s">
        <v>1010</v>
      </c>
      <c r="C402" s="5">
        <v>105</v>
      </c>
      <c r="D402" s="3" t="b">
        <f>FALSE()</f>
        <v>0</v>
      </c>
      <c r="E402" s="3" t="b">
        <f>FALSE()</f>
        <v>0</v>
      </c>
      <c r="F402" s="2" t="s">
        <v>23</v>
      </c>
      <c r="G402" s="2" t="s">
        <v>364</v>
      </c>
      <c r="H402" s="2" t="s">
        <v>23</v>
      </c>
      <c r="I402" s="2" t="s">
        <v>487</v>
      </c>
      <c r="J402" s="3" t="b">
        <f>TRUE()</f>
        <v>1</v>
      </c>
      <c r="K402" s="10">
        <v>7.7429999999999999E-2</v>
      </c>
      <c r="L402" s="10">
        <v>0</v>
      </c>
      <c r="M402" s="2" t="s">
        <v>23</v>
      </c>
      <c r="N402" s="2" t="s">
        <v>23</v>
      </c>
      <c r="O402" s="2" t="s">
        <v>24</v>
      </c>
      <c r="P402" s="2" t="s">
        <v>367</v>
      </c>
      <c r="Q402" s="2" t="s">
        <v>23</v>
      </c>
    </row>
    <row r="403" spans="1:17" x14ac:dyDescent="0.25">
      <c r="A403" s="2" t="s">
        <v>1011</v>
      </c>
      <c r="B403" s="2" t="s">
        <v>1012</v>
      </c>
      <c r="C403" s="5">
        <v>0</v>
      </c>
      <c r="D403" s="3" t="b">
        <f>FALSE()</f>
        <v>0</v>
      </c>
      <c r="E403" s="3" t="b">
        <f>FALSE()</f>
        <v>0</v>
      </c>
      <c r="F403" s="2" t="s">
        <v>23</v>
      </c>
      <c r="G403" s="2" t="s">
        <v>364</v>
      </c>
      <c r="H403" s="2" t="s">
        <v>23</v>
      </c>
      <c r="I403" s="2" t="s">
        <v>487</v>
      </c>
      <c r="J403" s="3" t="b">
        <f>TRUE()</f>
        <v>1</v>
      </c>
      <c r="K403" s="10">
        <v>0</v>
      </c>
      <c r="L403" s="10">
        <v>0</v>
      </c>
      <c r="M403" s="2" t="s">
        <v>23</v>
      </c>
      <c r="N403" s="2" t="s">
        <v>23</v>
      </c>
      <c r="O403" s="2" t="s">
        <v>24</v>
      </c>
      <c r="P403" s="2" t="s">
        <v>367</v>
      </c>
      <c r="Q403" s="2" t="s">
        <v>23</v>
      </c>
    </row>
    <row r="404" spans="1:17" x14ac:dyDescent="0.25">
      <c r="A404" s="2" t="s">
        <v>1013</v>
      </c>
      <c r="B404" s="2" t="s">
        <v>1014</v>
      </c>
      <c r="C404" s="5">
        <v>64</v>
      </c>
      <c r="D404" s="3" t="b">
        <f>FALSE()</f>
        <v>0</v>
      </c>
      <c r="E404" s="3" t="b">
        <f>FALSE()</f>
        <v>0</v>
      </c>
      <c r="F404" s="2" t="s">
        <v>23</v>
      </c>
      <c r="G404" s="2" t="s">
        <v>364</v>
      </c>
      <c r="H404" s="2" t="s">
        <v>23</v>
      </c>
      <c r="I404" s="2" t="s">
        <v>487</v>
      </c>
      <c r="J404" s="3" t="b">
        <f>TRUE()</f>
        <v>1</v>
      </c>
      <c r="K404" s="10">
        <v>6.3589999999999994E-2</v>
      </c>
      <c r="L404" s="10">
        <v>0</v>
      </c>
      <c r="M404" s="2" t="s">
        <v>23</v>
      </c>
      <c r="N404" s="2" t="s">
        <v>23</v>
      </c>
      <c r="O404" s="2" t="s">
        <v>24</v>
      </c>
      <c r="P404" s="2" t="s">
        <v>367</v>
      </c>
      <c r="Q404" s="2" t="s">
        <v>23</v>
      </c>
    </row>
    <row r="405" spans="1:17" x14ac:dyDescent="0.25">
      <c r="A405" s="2" t="s">
        <v>1015</v>
      </c>
      <c r="B405" s="2" t="s">
        <v>1016</v>
      </c>
      <c r="C405" s="5">
        <v>222</v>
      </c>
      <c r="D405" s="3" t="b">
        <f>FALSE()</f>
        <v>0</v>
      </c>
      <c r="E405" s="3" t="b">
        <f>FALSE()</f>
        <v>0</v>
      </c>
      <c r="F405" s="2" t="s">
        <v>23</v>
      </c>
      <c r="G405" s="2" t="s">
        <v>364</v>
      </c>
      <c r="H405" s="2" t="s">
        <v>23</v>
      </c>
      <c r="I405" s="2" t="s">
        <v>487</v>
      </c>
      <c r="J405" s="3" t="b">
        <f>TRUE()</f>
        <v>1</v>
      </c>
      <c r="K405" s="10">
        <v>8.8289999999999993E-2</v>
      </c>
      <c r="L405" s="10">
        <v>0</v>
      </c>
      <c r="M405" s="2" t="s">
        <v>23</v>
      </c>
      <c r="N405" s="2" t="s">
        <v>23</v>
      </c>
      <c r="O405" s="2" t="s">
        <v>24</v>
      </c>
      <c r="P405" s="2" t="s">
        <v>367</v>
      </c>
      <c r="Q405" s="2" t="s">
        <v>23</v>
      </c>
    </row>
    <row r="406" spans="1:17" x14ac:dyDescent="0.25">
      <c r="A406" s="2" t="s">
        <v>1017</v>
      </c>
      <c r="B406" s="2" t="s">
        <v>1018</v>
      </c>
      <c r="C406" s="5">
        <v>0</v>
      </c>
      <c r="D406" s="3" t="b">
        <f>FALSE()</f>
        <v>0</v>
      </c>
      <c r="E406" s="3" t="b">
        <f>FALSE()</f>
        <v>0</v>
      </c>
      <c r="F406" s="2" t="s">
        <v>23</v>
      </c>
      <c r="G406" s="2" t="s">
        <v>364</v>
      </c>
      <c r="H406" s="2" t="s">
        <v>23</v>
      </c>
      <c r="I406" s="2" t="s">
        <v>487</v>
      </c>
      <c r="J406" s="3" t="b">
        <f>TRUE()</f>
        <v>1</v>
      </c>
      <c r="K406" s="10">
        <v>0</v>
      </c>
      <c r="L406" s="10">
        <v>0</v>
      </c>
      <c r="M406" s="2" t="s">
        <v>23</v>
      </c>
      <c r="N406" s="2" t="s">
        <v>23</v>
      </c>
      <c r="O406" s="2" t="s">
        <v>24</v>
      </c>
      <c r="P406" s="2" t="s">
        <v>367</v>
      </c>
      <c r="Q406" s="2" t="s">
        <v>23</v>
      </c>
    </row>
    <row r="407" spans="1:17" x14ac:dyDescent="0.25">
      <c r="A407" s="2" t="s">
        <v>1019</v>
      </c>
      <c r="B407" s="2" t="s">
        <v>1020</v>
      </c>
      <c r="C407" s="5">
        <v>53</v>
      </c>
      <c r="D407" s="3" t="b">
        <f>FALSE()</f>
        <v>0</v>
      </c>
      <c r="E407" s="3" t="b">
        <f>FALSE()</f>
        <v>0</v>
      </c>
      <c r="F407" s="2" t="s">
        <v>23</v>
      </c>
      <c r="G407" s="2" t="s">
        <v>364</v>
      </c>
      <c r="H407" s="2" t="s">
        <v>23</v>
      </c>
      <c r="I407" s="2" t="s">
        <v>487</v>
      </c>
      <c r="J407" s="3" t="b">
        <f>TRUE()</f>
        <v>1</v>
      </c>
      <c r="K407" s="10">
        <v>7.2639999999999996E-2</v>
      </c>
      <c r="L407" s="10">
        <v>0</v>
      </c>
      <c r="M407" s="2" t="s">
        <v>23</v>
      </c>
      <c r="N407" s="2" t="s">
        <v>23</v>
      </c>
      <c r="O407" s="2" t="s">
        <v>24</v>
      </c>
      <c r="P407" s="2" t="s">
        <v>367</v>
      </c>
      <c r="Q407" s="2" t="s">
        <v>23</v>
      </c>
    </row>
    <row r="408" spans="1:17" x14ac:dyDescent="0.25">
      <c r="A408" s="2" t="s">
        <v>1021</v>
      </c>
      <c r="B408" s="2" t="s">
        <v>892</v>
      </c>
      <c r="C408" s="5">
        <v>5000</v>
      </c>
      <c r="D408" s="3" t="b">
        <f>FALSE()</f>
        <v>0</v>
      </c>
      <c r="E408" s="3" t="b">
        <f>FALSE()</f>
        <v>0</v>
      </c>
      <c r="F408" s="2" t="s">
        <v>23</v>
      </c>
      <c r="G408" s="2" t="s">
        <v>364</v>
      </c>
      <c r="H408" s="2" t="s">
        <v>23</v>
      </c>
      <c r="I408" s="2" t="s">
        <v>487</v>
      </c>
      <c r="J408" s="3" t="b">
        <f>FALSE()</f>
        <v>0</v>
      </c>
      <c r="K408" s="10">
        <v>7.2620000000000004E-2</v>
      </c>
      <c r="L408" s="10">
        <v>0</v>
      </c>
      <c r="M408" s="2" t="s">
        <v>23</v>
      </c>
      <c r="N408" s="2" t="s">
        <v>23</v>
      </c>
      <c r="O408" s="2" t="s">
        <v>24</v>
      </c>
      <c r="P408" s="2" t="s">
        <v>367</v>
      </c>
      <c r="Q408" s="2" t="s">
        <v>23</v>
      </c>
    </row>
    <row r="409" spans="1:17" x14ac:dyDescent="0.25">
      <c r="A409" s="2" t="s">
        <v>1022</v>
      </c>
      <c r="B409" s="2" t="s">
        <v>1023</v>
      </c>
      <c r="C409" s="5">
        <v>100</v>
      </c>
      <c r="D409" s="3" t="b">
        <f>FALSE()</f>
        <v>0</v>
      </c>
      <c r="E409" s="3" t="b">
        <f>FALSE()</f>
        <v>0</v>
      </c>
      <c r="F409" s="2" t="s">
        <v>23</v>
      </c>
      <c r="G409" s="2" t="s">
        <v>364</v>
      </c>
      <c r="H409" s="2" t="s">
        <v>23</v>
      </c>
      <c r="I409" s="2" t="s">
        <v>487</v>
      </c>
      <c r="J409" s="3" t="b">
        <f>TRUE()</f>
        <v>1</v>
      </c>
      <c r="K409" s="10">
        <v>9.4399999999999998E-2</v>
      </c>
      <c r="L409" s="10">
        <v>0</v>
      </c>
      <c r="M409" s="2" t="s">
        <v>23</v>
      </c>
      <c r="N409" s="2" t="s">
        <v>23</v>
      </c>
      <c r="O409" s="2" t="s">
        <v>24</v>
      </c>
      <c r="P409" s="2" t="s">
        <v>367</v>
      </c>
      <c r="Q409" s="2" t="s">
        <v>23</v>
      </c>
    </row>
    <row r="410" spans="1:17" x14ac:dyDescent="0.25">
      <c r="A410" s="2" t="s">
        <v>1024</v>
      </c>
      <c r="B410" s="2" t="s">
        <v>1025</v>
      </c>
      <c r="C410" s="5">
        <v>77</v>
      </c>
      <c r="D410" s="3" t="b">
        <f>FALSE()</f>
        <v>0</v>
      </c>
      <c r="E410" s="3" t="b">
        <f>FALSE()</f>
        <v>0</v>
      </c>
      <c r="F410" s="2" t="s">
        <v>23</v>
      </c>
      <c r="G410" s="2" t="s">
        <v>364</v>
      </c>
      <c r="H410" s="2" t="s">
        <v>23</v>
      </c>
      <c r="I410" s="2" t="s">
        <v>487</v>
      </c>
      <c r="J410" s="3" t="b">
        <f>FALSE()</f>
        <v>0</v>
      </c>
      <c r="K410" s="10">
        <v>9.4399999999999998E-2</v>
      </c>
      <c r="L410" s="10">
        <v>0</v>
      </c>
      <c r="M410" s="2" t="s">
        <v>23</v>
      </c>
      <c r="N410" s="2" t="s">
        <v>23</v>
      </c>
      <c r="O410" s="2" t="s">
        <v>24</v>
      </c>
      <c r="P410" s="2" t="s">
        <v>367</v>
      </c>
      <c r="Q410" s="2" t="s">
        <v>23</v>
      </c>
    </row>
    <row r="411" spans="1:17" x14ac:dyDescent="0.25">
      <c r="A411" s="2" t="s">
        <v>1026</v>
      </c>
      <c r="B411" s="2" t="s">
        <v>1027</v>
      </c>
      <c r="C411" s="5">
        <v>200</v>
      </c>
      <c r="D411" s="3" t="b">
        <f>FALSE()</f>
        <v>0</v>
      </c>
      <c r="E411" s="3" t="b">
        <f>FALSE()</f>
        <v>0</v>
      </c>
      <c r="F411" s="2" t="s">
        <v>23</v>
      </c>
      <c r="G411" s="2" t="s">
        <v>364</v>
      </c>
      <c r="H411" s="2" t="s">
        <v>23</v>
      </c>
      <c r="I411" s="2" t="s">
        <v>487</v>
      </c>
      <c r="J411" s="3" t="b">
        <f>FALSE()</f>
        <v>0</v>
      </c>
      <c r="K411" s="10">
        <v>6.6699999999999995E-2</v>
      </c>
      <c r="L411" s="10">
        <v>0</v>
      </c>
      <c r="M411" s="2" t="s">
        <v>23</v>
      </c>
      <c r="N411" s="2" t="s">
        <v>23</v>
      </c>
      <c r="O411" s="2" t="s">
        <v>24</v>
      </c>
      <c r="P411" s="2" t="s">
        <v>367</v>
      </c>
      <c r="Q411" s="2" t="s">
        <v>23</v>
      </c>
    </row>
    <row r="412" spans="1:17" x14ac:dyDescent="0.25">
      <c r="A412" s="2" t="s">
        <v>1028</v>
      </c>
      <c r="B412" s="2" t="s">
        <v>1029</v>
      </c>
      <c r="C412" s="5">
        <v>5200</v>
      </c>
      <c r="D412" s="3" t="b">
        <f>FALSE()</f>
        <v>0</v>
      </c>
      <c r="E412" s="3" t="b">
        <f>FALSE()</f>
        <v>0</v>
      </c>
      <c r="F412" s="2" t="s">
        <v>23</v>
      </c>
      <c r="G412" s="2" t="s">
        <v>364</v>
      </c>
      <c r="H412" s="2" t="s">
        <v>23</v>
      </c>
      <c r="I412" s="2" t="s">
        <v>487</v>
      </c>
      <c r="J412" s="3" t="b">
        <f>FALSE()</f>
        <v>0</v>
      </c>
      <c r="K412" s="10">
        <v>7.8229999999999994E-2</v>
      </c>
      <c r="L412" s="10">
        <v>0</v>
      </c>
      <c r="M412" s="2" t="s">
        <v>23</v>
      </c>
      <c r="N412" s="2" t="s">
        <v>23</v>
      </c>
      <c r="O412" s="2" t="s">
        <v>24</v>
      </c>
      <c r="P412" s="2" t="s">
        <v>367</v>
      </c>
      <c r="Q412" s="2" t="s">
        <v>23</v>
      </c>
    </row>
    <row r="413" spans="1:17" x14ac:dyDescent="0.25">
      <c r="A413" s="2" t="s">
        <v>1030</v>
      </c>
      <c r="B413" s="2" t="s">
        <v>1031</v>
      </c>
      <c r="C413" s="5">
        <v>3212</v>
      </c>
      <c r="D413" s="3" t="b">
        <f>FALSE()</f>
        <v>0</v>
      </c>
      <c r="E413" s="3" t="b">
        <f>FALSE()</f>
        <v>0</v>
      </c>
      <c r="F413" s="2" t="s">
        <v>23</v>
      </c>
      <c r="G413" s="2" t="s">
        <v>364</v>
      </c>
      <c r="H413" s="2" t="s">
        <v>23</v>
      </c>
      <c r="I413" s="2" t="s">
        <v>487</v>
      </c>
      <c r="J413" s="3" t="b">
        <f>FALSE()</f>
        <v>0</v>
      </c>
      <c r="K413" s="10">
        <v>7.8229999999999994E-2</v>
      </c>
      <c r="L413" s="10">
        <v>0</v>
      </c>
      <c r="M413" s="2" t="s">
        <v>23</v>
      </c>
      <c r="N413" s="2" t="s">
        <v>23</v>
      </c>
      <c r="O413" s="2" t="s">
        <v>24</v>
      </c>
      <c r="P413" s="2" t="s">
        <v>367</v>
      </c>
      <c r="Q413" s="2" t="s">
        <v>23</v>
      </c>
    </row>
    <row r="414" spans="1:17" x14ac:dyDescent="0.25">
      <c r="A414" s="2" t="s">
        <v>1032</v>
      </c>
      <c r="B414" s="2" t="s">
        <v>1033</v>
      </c>
      <c r="C414" s="5">
        <v>100</v>
      </c>
      <c r="D414" s="3" t="b">
        <f>FALSE()</f>
        <v>0</v>
      </c>
      <c r="E414" s="3" t="b">
        <f>FALSE()</f>
        <v>0</v>
      </c>
      <c r="F414" s="2" t="s">
        <v>23</v>
      </c>
      <c r="G414" s="2" t="s">
        <v>364</v>
      </c>
      <c r="H414" s="2" t="s">
        <v>23</v>
      </c>
      <c r="I414" s="2" t="s">
        <v>487</v>
      </c>
      <c r="J414" s="3" t="b">
        <f>FALSE()</f>
        <v>0</v>
      </c>
      <c r="K414" s="10">
        <v>6.6699999999999995E-2</v>
      </c>
      <c r="L414" s="10">
        <v>0</v>
      </c>
      <c r="M414" s="2" t="s">
        <v>23</v>
      </c>
      <c r="N414" s="2" t="s">
        <v>23</v>
      </c>
      <c r="O414" s="2" t="s">
        <v>24</v>
      </c>
      <c r="P414" s="2" t="s">
        <v>367</v>
      </c>
      <c r="Q414" s="2" t="s">
        <v>23</v>
      </c>
    </row>
    <row r="415" spans="1:17" x14ac:dyDescent="0.25">
      <c r="A415" s="2" t="s">
        <v>1034</v>
      </c>
      <c r="B415" s="2" t="s">
        <v>1035</v>
      </c>
      <c r="C415" s="5">
        <v>3800</v>
      </c>
      <c r="D415" s="3" t="b">
        <f>FALSE()</f>
        <v>0</v>
      </c>
      <c r="E415" s="3" t="b">
        <f>FALSE()</f>
        <v>0</v>
      </c>
      <c r="F415" s="2" t="s">
        <v>23</v>
      </c>
      <c r="G415" s="2" t="s">
        <v>364</v>
      </c>
      <c r="H415" s="2" t="s">
        <v>23</v>
      </c>
      <c r="I415" s="2" t="s">
        <v>487</v>
      </c>
      <c r="J415" s="3" t="b">
        <f>FALSE()</f>
        <v>0</v>
      </c>
      <c r="K415" s="10">
        <v>0.11594</v>
      </c>
      <c r="L415" s="10">
        <v>0</v>
      </c>
      <c r="M415" s="2" t="s">
        <v>23</v>
      </c>
      <c r="N415" s="2" t="s">
        <v>23</v>
      </c>
      <c r="O415" s="2" t="s">
        <v>24</v>
      </c>
      <c r="P415" s="2" t="s">
        <v>367</v>
      </c>
      <c r="Q415" s="2" t="s">
        <v>23</v>
      </c>
    </row>
    <row r="416" spans="1:17" x14ac:dyDescent="0.25">
      <c r="A416" s="2" t="s">
        <v>1036</v>
      </c>
      <c r="B416" s="2" t="s">
        <v>1037</v>
      </c>
      <c r="C416" s="5">
        <v>15400</v>
      </c>
      <c r="D416" s="3" t="b">
        <f>FALSE()</f>
        <v>0</v>
      </c>
      <c r="E416" s="3" t="b">
        <f>FALSE()</f>
        <v>0</v>
      </c>
      <c r="F416" s="2" t="s">
        <v>23</v>
      </c>
      <c r="G416" s="2" t="s">
        <v>364</v>
      </c>
      <c r="H416" s="2" t="s">
        <v>23</v>
      </c>
      <c r="I416" s="2" t="s">
        <v>487</v>
      </c>
      <c r="J416" s="3" t="b">
        <f>FALSE()</f>
        <v>0</v>
      </c>
      <c r="K416" s="10">
        <v>6.3899999999999998E-2</v>
      </c>
      <c r="L416" s="10">
        <v>0</v>
      </c>
      <c r="M416" s="2" t="s">
        <v>23</v>
      </c>
      <c r="N416" s="2" t="s">
        <v>23</v>
      </c>
      <c r="O416" s="2" t="s">
        <v>24</v>
      </c>
      <c r="P416" s="2" t="s">
        <v>367</v>
      </c>
      <c r="Q416" s="2" t="s">
        <v>23</v>
      </c>
    </row>
    <row r="417" spans="1:17" x14ac:dyDescent="0.25">
      <c r="A417" s="2" t="s">
        <v>1038</v>
      </c>
      <c r="B417" s="2" t="s">
        <v>1039</v>
      </c>
      <c r="C417" s="5">
        <v>2200</v>
      </c>
      <c r="D417" s="3" t="b">
        <f>FALSE()</f>
        <v>0</v>
      </c>
      <c r="E417" s="3" t="b">
        <f>FALSE()</f>
        <v>0</v>
      </c>
      <c r="F417" s="2" t="s">
        <v>23</v>
      </c>
      <c r="G417" s="2" t="s">
        <v>364</v>
      </c>
      <c r="H417" s="2" t="s">
        <v>23</v>
      </c>
      <c r="I417" s="2" t="s">
        <v>487</v>
      </c>
      <c r="J417" s="3" t="b">
        <f>FALSE()</f>
        <v>0</v>
      </c>
      <c r="K417" s="10">
        <v>6.3899999999999998E-2</v>
      </c>
      <c r="L417" s="10">
        <v>0</v>
      </c>
      <c r="M417" s="2" t="s">
        <v>23</v>
      </c>
      <c r="N417" s="2" t="s">
        <v>23</v>
      </c>
      <c r="O417" s="2" t="s">
        <v>24</v>
      </c>
      <c r="P417" s="2" t="s">
        <v>367</v>
      </c>
      <c r="Q417" s="2" t="s">
        <v>23</v>
      </c>
    </row>
    <row r="418" spans="1:17" x14ac:dyDescent="0.25">
      <c r="A418" s="2" t="s">
        <v>1040</v>
      </c>
      <c r="B418" s="2" t="s">
        <v>1041</v>
      </c>
      <c r="C418" s="5">
        <v>28</v>
      </c>
      <c r="D418" s="3" t="b">
        <f>FALSE()</f>
        <v>0</v>
      </c>
      <c r="E418" s="3" t="b">
        <f>FALSE()</f>
        <v>0</v>
      </c>
      <c r="F418" s="2" t="s">
        <v>23</v>
      </c>
      <c r="G418" s="2" t="s">
        <v>364</v>
      </c>
      <c r="H418" s="2" t="s">
        <v>23</v>
      </c>
      <c r="I418" s="2" t="s">
        <v>487</v>
      </c>
      <c r="J418" s="3" t="b">
        <f>FALSE()</f>
        <v>0</v>
      </c>
      <c r="K418" s="10">
        <v>7.3700000000000002E-2</v>
      </c>
      <c r="L418" s="10">
        <v>0</v>
      </c>
      <c r="M418" s="2" t="s">
        <v>23</v>
      </c>
      <c r="N418" s="2" t="s">
        <v>23</v>
      </c>
      <c r="O418" s="2" t="s">
        <v>24</v>
      </c>
      <c r="P418" s="2" t="s">
        <v>367</v>
      </c>
      <c r="Q418" s="2" t="s">
        <v>23</v>
      </c>
    </row>
    <row r="419" spans="1:17" x14ac:dyDescent="0.25">
      <c r="A419" s="2" t="s">
        <v>1042</v>
      </c>
      <c r="B419" s="2" t="s">
        <v>1043</v>
      </c>
      <c r="C419" s="5">
        <v>20700</v>
      </c>
      <c r="D419" s="3" t="b">
        <f>FALSE()</f>
        <v>0</v>
      </c>
      <c r="E419" s="3" t="b">
        <f>FALSE()</f>
        <v>0</v>
      </c>
      <c r="F419" s="2" t="s">
        <v>23</v>
      </c>
      <c r="G419" s="2" t="s">
        <v>364</v>
      </c>
      <c r="H419" s="2" t="s">
        <v>23</v>
      </c>
      <c r="I419" s="2" t="s">
        <v>487</v>
      </c>
      <c r="J419" s="3" t="b">
        <f>FALSE()</f>
        <v>0</v>
      </c>
      <c r="K419" s="10">
        <v>7.3690000000000005E-2</v>
      </c>
      <c r="L419" s="10">
        <v>0</v>
      </c>
      <c r="M419" s="2" t="s">
        <v>23</v>
      </c>
      <c r="N419" s="2" t="s">
        <v>23</v>
      </c>
      <c r="O419" s="2" t="s">
        <v>24</v>
      </c>
      <c r="P419" s="2" t="s">
        <v>367</v>
      </c>
      <c r="Q419" s="2" t="s">
        <v>23</v>
      </c>
    </row>
    <row r="420" spans="1:17" x14ac:dyDescent="0.25">
      <c r="A420" s="2" t="s">
        <v>1044</v>
      </c>
      <c r="B420" s="2" t="s">
        <v>1045</v>
      </c>
      <c r="C420" s="5">
        <v>0</v>
      </c>
      <c r="D420" s="3" t="b">
        <f>FALSE()</f>
        <v>0</v>
      </c>
      <c r="E420" s="3" t="b">
        <f>FALSE()</f>
        <v>0</v>
      </c>
      <c r="F420" s="2" t="s">
        <v>23</v>
      </c>
      <c r="G420" s="2" t="s">
        <v>364</v>
      </c>
      <c r="H420" s="2" t="s">
        <v>23</v>
      </c>
      <c r="I420" s="2" t="s">
        <v>487</v>
      </c>
      <c r="J420" s="3" t="b">
        <f>TRUE()</f>
        <v>1</v>
      </c>
      <c r="K420" s="10">
        <v>0</v>
      </c>
      <c r="L420" s="10">
        <v>0</v>
      </c>
      <c r="M420" s="2" t="s">
        <v>23</v>
      </c>
      <c r="N420" s="2" t="s">
        <v>23</v>
      </c>
      <c r="O420" s="2" t="s">
        <v>24</v>
      </c>
      <c r="P420" s="2" t="s">
        <v>367</v>
      </c>
      <c r="Q420" s="2" t="s">
        <v>23</v>
      </c>
    </row>
    <row r="421" spans="1:17" x14ac:dyDescent="0.25">
      <c r="A421" s="2" t="s">
        <v>1046</v>
      </c>
      <c r="B421" s="2" t="s">
        <v>1047</v>
      </c>
      <c r="C421" s="5">
        <v>1300</v>
      </c>
      <c r="D421" s="3" t="b">
        <f>FALSE()</f>
        <v>0</v>
      </c>
      <c r="E421" s="3" t="b">
        <f>FALSE()</f>
        <v>0</v>
      </c>
      <c r="F421" s="2" t="s">
        <v>23</v>
      </c>
      <c r="G421" s="2" t="s">
        <v>364</v>
      </c>
      <c r="H421" s="2" t="s">
        <v>23</v>
      </c>
      <c r="I421" s="2" t="s">
        <v>487</v>
      </c>
      <c r="J421" s="3" t="b">
        <f>FALSE()</f>
        <v>0</v>
      </c>
      <c r="K421" s="10">
        <v>6.3899999999999998E-2</v>
      </c>
      <c r="L421" s="10">
        <v>0</v>
      </c>
      <c r="M421" s="2" t="s">
        <v>23</v>
      </c>
      <c r="N421" s="2" t="s">
        <v>23</v>
      </c>
      <c r="O421" s="2" t="s">
        <v>24</v>
      </c>
      <c r="P421" s="2" t="s">
        <v>367</v>
      </c>
      <c r="Q421" s="2" t="s">
        <v>23</v>
      </c>
    </row>
    <row r="422" spans="1:17" x14ac:dyDescent="0.25">
      <c r="A422" s="2" t="s">
        <v>1048</v>
      </c>
      <c r="B422" s="2" t="s">
        <v>1049</v>
      </c>
      <c r="C422" s="5">
        <v>124</v>
      </c>
      <c r="D422" s="3" t="b">
        <f>FALSE()</f>
        <v>0</v>
      </c>
      <c r="E422" s="3" t="b">
        <f>FALSE()</f>
        <v>0</v>
      </c>
      <c r="F422" s="2" t="s">
        <v>23</v>
      </c>
      <c r="G422" s="2" t="s">
        <v>364</v>
      </c>
      <c r="H422" s="2" t="s">
        <v>23</v>
      </c>
      <c r="I422" s="2" t="s">
        <v>487</v>
      </c>
      <c r="J422" s="3" t="b">
        <f>FALSE()</f>
        <v>0</v>
      </c>
      <c r="K422" s="10">
        <v>7.3690000000000005E-2</v>
      </c>
      <c r="L422" s="10">
        <v>0</v>
      </c>
      <c r="M422" s="2" t="s">
        <v>23</v>
      </c>
      <c r="N422" s="2" t="s">
        <v>23</v>
      </c>
      <c r="O422" s="2" t="s">
        <v>24</v>
      </c>
      <c r="P422" s="2" t="s">
        <v>367</v>
      </c>
      <c r="Q422" s="2" t="s">
        <v>23</v>
      </c>
    </row>
    <row r="423" spans="1:17" x14ac:dyDescent="0.25">
      <c r="A423" s="2" t="s">
        <v>1050</v>
      </c>
      <c r="B423" s="2" t="s">
        <v>1051</v>
      </c>
      <c r="C423" s="5">
        <v>0</v>
      </c>
      <c r="D423" s="3" t="b">
        <f>FALSE()</f>
        <v>0</v>
      </c>
      <c r="E423" s="3" t="b">
        <f>FALSE()</f>
        <v>0</v>
      </c>
      <c r="F423" s="2" t="s">
        <v>23</v>
      </c>
      <c r="G423" s="2" t="s">
        <v>364</v>
      </c>
      <c r="H423" s="2" t="s">
        <v>23</v>
      </c>
      <c r="I423" s="2" t="s">
        <v>487</v>
      </c>
      <c r="J423" s="3" t="b">
        <f>TRUE()</f>
        <v>1</v>
      </c>
      <c r="K423" s="10">
        <v>0</v>
      </c>
      <c r="L423" s="10">
        <v>0</v>
      </c>
      <c r="M423" s="2" t="s">
        <v>23</v>
      </c>
      <c r="N423" s="2" t="s">
        <v>23</v>
      </c>
      <c r="O423" s="2" t="s">
        <v>24</v>
      </c>
      <c r="P423" s="2" t="s">
        <v>367</v>
      </c>
      <c r="Q423" s="2" t="s">
        <v>23</v>
      </c>
    </row>
    <row r="424" spans="1:17" x14ac:dyDescent="0.25">
      <c r="A424" s="2" t="s">
        <v>1052</v>
      </c>
      <c r="B424" s="2" t="s">
        <v>1053</v>
      </c>
      <c r="C424" s="5">
        <v>0</v>
      </c>
      <c r="D424" s="3" t="b">
        <f>FALSE()</f>
        <v>0</v>
      </c>
      <c r="E424" s="3" t="b">
        <f>FALSE()</f>
        <v>0</v>
      </c>
      <c r="F424" s="2" t="s">
        <v>23</v>
      </c>
      <c r="G424" s="2" t="s">
        <v>364</v>
      </c>
      <c r="H424" s="2" t="s">
        <v>23</v>
      </c>
      <c r="I424" s="2" t="s">
        <v>487</v>
      </c>
      <c r="J424" s="3" t="b">
        <f>TRUE()</f>
        <v>1</v>
      </c>
      <c r="K424" s="10">
        <v>0</v>
      </c>
      <c r="L424" s="10">
        <v>0</v>
      </c>
      <c r="M424" s="2" t="s">
        <v>23</v>
      </c>
      <c r="N424" s="2" t="s">
        <v>23</v>
      </c>
      <c r="O424" s="2" t="s">
        <v>24</v>
      </c>
      <c r="P424" s="2" t="s">
        <v>367</v>
      </c>
      <c r="Q424" s="2" t="s">
        <v>23</v>
      </c>
    </row>
    <row r="425" spans="1:17" x14ac:dyDescent="0.25">
      <c r="A425" s="2" t="s">
        <v>1054</v>
      </c>
      <c r="B425" s="2" t="s">
        <v>1055</v>
      </c>
      <c r="C425" s="5">
        <v>0</v>
      </c>
      <c r="D425" s="3" t="b">
        <f>FALSE()</f>
        <v>0</v>
      </c>
      <c r="E425" s="3" t="b">
        <f>FALSE()</f>
        <v>0</v>
      </c>
      <c r="F425" s="2" t="s">
        <v>23</v>
      </c>
      <c r="G425" s="2" t="s">
        <v>364</v>
      </c>
      <c r="H425" s="2" t="s">
        <v>23</v>
      </c>
      <c r="I425" s="2" t="s">
        <v>487</v>
      </c>
      <c r="J425" s="3" t="b">
        <f>TRUE()</f>
        <v>1</v>
      </c>
      <c r="K425" s="10">
        <v>0</v>
      </c>
      <c r="L425" s="10">
        <v>0</v>
      </c>
      <c r="M425" s="2" t="s">
        <v>23</v>
      </c>
      <c r="N425" s="2" t="s">
        <v>23</v>
      </c>
      <c r="O425" s="2" t="s">
        <v>24</v>
      </c>
      <c r="P425" s="2" t="s">
        <v>367</v>
      </c>
      <c r="Q425" s="2" t="s">
        <v>23</v>
      </c>
    </row>
    <row r="426" spans="1:17" x14ac:dyDescent="0.25">
      <c r="A426" s="2" t="s">
        <v>1056</v>
      </c>
      <c r="B426" s="2" t="s">
        <v>1057</v>
      </c>
      <c r="C426" s="5">
        <v>0</v>
      </c>
      <c r="D426" s="3" t="b">
        <f>FALSE()</f>
        <v>0</v>
      </c>
      <c r="E426" s="3" t="b">
        <f>FALSE()</f>
        <v>0</v>
      </c>
      <c r="F426" s="2" t="s">
        <v>23</v>
      </c>
      <c r="G426" s="2" t="s">
        <v>364</v>
      </c>
      <c r="H426" s="2" t="s">
        <v>23</v>
      </c>
      <c r="I426" s="2" t="s">
        <v>487</v>
      </c>
      <c r="J426" s="3" t="b">
        <f>TRUE()</f>
        <v>1</v>
      </c>
      <c r="K426" s="10">
        <v>0</v>
      </c>
      <c r="L426" s="10">
        <v>0</v>
      </c>
      <c r="M426" s="2" t="s">
        <v>23</v>
      </c>
      <c r="N426" s="2" t="s">
        <v>23</v>
      </c>
      <c r="O426" s="2" t="s">
        <v>24</v>
      </c>
      <c r="P426" s="2" t="s">
        <v>367</v>
      </c>
      <c r="Q426" s="2" t="s">
        <v>23</v>
      </c>
    </row>
    <row r="427" spans="1:17" x14ac:dyDescent="0.25">
      <c r="A427" s="2" t="s">
        <v>1058</v>
      </c>
      <c r="B427" s="2" t="s">
        <v>1059</v>
      </c>
      <c r="C427" s="5">
        <v>0</v>
      </c>
      <c r="D427" s="3" t="b">
        <f>FALSE()</f>
        <v>0</v>
      </c>
      <c r="E427" s="3" t="b">
        <f>FALSE()</f>
        <v>0</v>
      </c>
      <c r="F427" s="2" t="s">
        <v>23</v>
      </c>
      <c r="G427" s="2" t="s">
        <v>364</v>
      </c>
      <c r="H427" s="2" t="s">
        <v>23</v>
      </c>
      <c r="I427" s="2" t="s">
        <v>487</v>
      </c>
      <c r="J427" s="3" t="b">
        <f>TRUE()</f>
        <v>1</v>
      </c>
      <c r="K427" s="10">
        <v>0</v>
      </c>
      <c r="L427" s="10">
        <v>0</v>
      </c>
      <c r="M427" s="2" t="s">
        <v>23</v>
      </c>
      <c r="N427" s="2" t="s">
        <v>23</v>
      </c>
      <c r="O427" s="2" t="s">
        <v>24</v>
      </c>
      <c r="P427" s="2" t="s">
        <v>367</v>
      </c>
      <c r="Q427" s="2" t="s">
        <v>23</v>
      </c>
    </row>
    <row r="428" spans="1:17" x14ac:dyDescent="0.25">
      <c r="A428" s="2" t="s">
        <v>1060</v>
      </c>
      <c r="B428" s="2" t="s">
        <v>1061</v>
      </c>
      <c r="C428" s="5">
        <v>0</v>
      </c>
      <c r="D428" s="3" t="b">
        <f>FALSE()</f>
        <v>0</v>
      </c>
      <c r="E428" s="3" t="b">
        <f>FALSE()</f>
        <v>0</v>
      </c>
      <c r="F428" s="2" t="s">
        <v>23</v>
      </c>
      <c r="G428" s="2" t="s">
        <v>364</v>
      </c>
      <c r="H428" s="2" t="s">
        <v>23</v>
      </c>
      <c r="I428" s="2" t="s">
        <v>487</v>
      </c>
      <c r="J428" s="3" t="b">
        <f>TRUE()</f>
        <v>1</v>
      </c>
      <c r="K428" s="10">
        <v>0</v>
      </c>
      <c r="L428" s="10">
        <v>0</v>
      </c>
      <c r="M428" s="2" t="s">
        <v>23</v>
      </c>
      <c r="N428" s="2" t="s">
        <v>23</v>
      </c>
      <c r="O428" s="2" t="s">
        <v>24</v>
      </c>
      <c r="P428" s="2" t="s">
        <v>367</v>
      </c>
      <c r="Q428" s="2" t="s">
        <v>23</v>
      </c>
    </row>
    <row r="429" spans="1:17" x14ac:dyDescent="0.25">
      <c r="A429" s="2" t="s">
        <v>1062</v>
      </c>
      <c r="B429" s="2" t="s">
        <v>1063</v>
      </c>
      <c r="C429" s="5">
        <v>0</v>
      </c>
      <c r="D429" s="3" t="b">
        <f>FALSE()</f>
        <v>0</v>
      </c>
      <c r="E429" s="3" t="b">
        <f>FALSE()</f>
        <v>0</v>
      </c>
      <c r="F429" s="2" t="s">
        <v>23</v>
      </c>
      <c r="G429" s="2" t="s">
        <v>364</v>
      </c>
      <c r="H429" s="2" t="s">
        <v>23</v>
      </c>
      <c r="I429" s="2" t="s">
        <v>487</v>
      </c>
      <c r="J429" s="3" t="b">
        <f>TRUE()</f>
        <v>1</v>
      </c>
      <c r="K429" s="10">
        <v>0</v>
      </c>
      <c r="L429" s="10">
        <v>0</v>
      </c>
      <c r="M429" s="2" t="s">
        <v>23</v>
      </c>
      <c r="N429" s="2" t="s">
        <v>23</v>
      </c>
      <c r="O429" s="2" t="s">
        <v>24</v>
      </c>
      <c r="P429" s="2" t="s">
        <v>367</v>
      </c>
      <c r="Q429" s="2" t="s">
        <v>23</v>
      </c>
    </row>
    <row r="430" spans="1:17" x14ac:dyDescent="0.25">
      <c r="A430" s="2" t="s">
        <v>1064</v>
      </c>
      <c r="B430" s="2" t="s">
        <v>1065</v>
      </c>
      <c r="C430" s="5">
        <v>0</v>
      </c>
      <c r="D430" s="3" t="b">
        <f>FALSE()</f>
        <v>0</v>
      </c>
      <c r="E430" s="3" t="b">
        <f>FALSE()</f>
        <v>0</v>
      </c>
      <c r="F430" s="2" t="s">
        <v>23</v>
      </c>
      <c r="G430" s="2" t="s">
        <v>364</v>
      </c>
      <c r="H430" s="2" t="s">
        <v>23</v>
      </c>
      <c r="I430" s="2" t="s">
        <v>487</v>
      </c>
      <c r="J430" s="3" t="b">
        <f>TRUE()</f>
        <v>1</v>
      </c>
      <c r="K430" s="10">
        <v>0</v>
      </c>
      <c r="L430" s="10">
        <v>0</v>
      </c>
      <c r="M430" s="2" t="s">
        <v>23</v>
      </c>
      <c r="N430" s="2" t="s">
        <v>23</v>
      </c>
      <c r="O430" s="2" t="s">
        <v>24</v>
      </c>
      <c r="P430" s="2" t="s">
        <v>367</v>
      </c>
      <c r="Q430" s="2" t="s">
        <v>23</v>
      </c>
    </row>
    <row r="431" spans="1:17" x14ac:dyDescent="0.25">
      <c r="A431" s="2" t="s">
        <v>1066</v>
      </c>
      <c r="B431" s="2" t="s">
        <v>1067</v>
      </c>
      <c r="C431" s="5">
        <v>0</v>
      </c>
      <c r="D431" s="3" t="b">
        <f>FALSE()</f>
        <v>0</v>
      </c>
      <c r="E431" s="3" t="b">
        <f>FALSE()</f>
        <v>0</v>
      </c>
      <c r="F431" s="2" t="s">
        <v>23</v>
      </c>
      <c r="G431" s="2" t="s">
        <v>364</v>
      </c>
      <c r="H431" s="2" t="s">
        <v>23</v>
      </c>
      <c r="I431" s="2" t="s">
        <v>487</v>
      </c>
      <c r="J431" s="3" t="b">
        <f>TRUE()</f>
        <v>1</v>
      </c>
      <c r="K431" s="10">
        <v>0</v>
      </c>
      <c r="L431" s="10">
        <v>0</v>
      </c>
      <c r="M431" s="2" t="s">
        <v>23</v>
      </c>
      <c r="N431" s="2" t="s">
        <v>23</v>
      </c>
      <c r="O431" s="2" t="s">
        <v>24</v>
      </c>
      <c r="P431" s="2" t="s">
        <v>367</v>
      </c>
      <c r="Q431" s="2" t="s">
        <v>23</v>
      </c>
    </row>
    <row r="432" spans="1:17" x14ac:dyDescent="0.25">
      <c r="A432" s="2" t="s">
        <v>1068</v>
      </c>
      <c r="B432" s="2" t="s">
        <v>1069</v>
      </c>
      <c r="C432" s="5">
        <v>0</v>
      </c>
      <c r="D432" s="3" t="b">
        <f>FALSE()</f>
        <v>0</v>
      </c>
      <c r="E432" s="3" t="b">
        <f>FALSE()</f>
        <v>0</v>
      </c>
      <c r="F432" s="2" t="s">
        <v>23</v>
      </c>
      <c r="G432" s="2" t="s">
        <v>364</v>
      </c>
      <c r="H432" s="2" t="s">
        <v>23</v>
      </c>
      <c r="I432" s="2" t="s">
        <v>487</v>
      </c>
      <c r="J432" s="3" t="b">
        <f>TRUE()</f>
        <v>1</v>
      </c>
      <c r="K432" s="10">
        <v>0</v>
      </c>
      <c r="L432" s="10">
        <v>0</v>
      </c>
      <c r="M432" s="2" t="s">
        <v>23</v>
      </c>
      <c r="N432" s="2" t="s">
        <v>23</v>
      </c>
      <c r="O432" s="2" t="s">
        <v>24</v>
      </c>
      <c r="P432" s="2" t="s">
        <v>367</v>
      </c>
      <c r="Q432" s="2" t="s">
        <v>23</v>
      </c>
    </row>
    <row r="433" spans="1:17" x14ac:dyDescent="0.25">
      <c r="A433" s="2" t="s">
        <v>1070</v>
      </c>
      <c r="B433" s="2" t="s">
        <v>1071</v>
      </c>
      <c r="C433" s="5">
        <v>0</v>
      </c>
      <c r="D433" s="3" t="b">
        <f>FALSE()</f>
        <v>0</v>
      </c>
      <c r="E433" s="3" t="b">
        <f>FALSE()</f>
        <v>0</v>
      </c>
      <c r="F433" s="2" t="s">
        <v>23</v>
      </c>
      <c r="G433" s="2" t="s">
        <v>364</v>
      </c>
      <c r="H433" s="2" t="s">
        <v>23</v>
      </c>
      <c r="I433" s="2" t="s">
        <v>487</v>
      </c>
      <c r="J433" s="3" t="b">
        <f>TRUE()</f>
        <v>1</v>
      </c>
      <c r="K433" s="10">
        <v>0</v>
      </c>
      <c r="L433" s="10">
        <v>0</v>
      </c>
      <c r="M433" s="2" t="s">
        <v>23</v>
      </c>
      <c r="N433" s="2" t="s">
        <v>23</v>
      </c>
      <c r="O433" s="2" t="s">
        <v>24</v>
      </c>
      <c r="P433" s="2" t="s">
        <v>367</v>
      </c>
      <c r="Q433" s="2" t="s">
        <v>23</v>
      </c>
    </row>
    <row r="434" spans="1:17" x14ac:dyDescent="0.25">
      <c r="A434" s="2" t="s">
        <v>1072</v>
      </c>
      <c r="B434" s="2" t="s">
        <v>1073</v>
      </c>
      <c r="C434" s="5">
        <v>0</v>
      </c>
      <c r="D434" s="3" t="b">
        <f>FALSE()</f>
        <v>0</v>
      </c>
      <c r="E434" s="3" t="b">
        <f>FALSE()</f>
        <v>0</v>
      </c>
      <c r="F434" s="2" t="s">
        <v>23</v>
      </c>
      <c r="G434" s="2" t="s">
        <v>364</v>
      </c>
      <c r="H434" s="2" t="s">
        <v>23</v>
      </c>
      <c r="I434" s="2" t="s">
        <v>487</v>
      </c>
      <c r="J434" s="3" t="b">
        <f>TRUE()</f>
        <v>1</v>
      </c>
      <c r="K434" s="10">
        <v>0</v>
      </c>
      <c r="L434" s="10">
        <v>0</v>
      </c>
      <c r="M434" s="2" t="s">
        <v>23</v>
      </c>
      <c r="N434" s="2" t="s">
        <v>23</v>
      </c>
      <c r="O434" s="2" t="s">
        <v>24</v>
      </c>
      <c r="P434" s="2" t="s">
        <v>367</v>
      </c>
      <c r="Q434" s="2" t="s">
        <v>23</v>
      </c>
    </row>
    <row r="435" spans="1:17" x14ac:dyDescent="0.25">
      <c r="A435" s="2" t="s">
        <v>1074</v>
      </c>
      <c r="B435" s="2" t="s">
        <v>1075</v>
      </c>
      <c r="C435" s="5">
        <v>0</v>
      </c>
      <c r="D435" s="3" t="b">
        <f>FALSE()</f>
        <v>0</v>
      </c>
      <c r="E435" s="3" t="b">
        <f>FALSE()</f>
        <v>0</v>
      </c>
      <c r="F435" s="2" t="s">
        <v>23</v>
      </c>
      <c r="G435" s="2" t="s">
        <v>364</v>
      </c>
      <c r="H435" s="2" t="s">
        <v>23</v>
      </c>
      <c r="I435" s="2" t="s">
        <v>487</v>
      </c>
      <c r="J435" s="3" t="b">
        <f>TRUE()</f>
        <v>1</v>
      </c>
      <c r="K435" s="10">
        <v>0</v>
      </c>
      <c r="L435" s="10">
        <v>0</v>
      </c>
      <c r="M435" s="2" t="s">
        <v>23</v>
      </c>
      <c r="N435" s="2" t="s">
        <v>23</v>
      </c>
      <c r="O435" s="2" t="s">
        <v>24</v>
      </c>
      <c r="P435" s="2" t="s">
        <v>367</v>
      </c>
      <c r="Q435" s="2" t="s">
        <v>23</v>
      </c>
    </row>
    <row r="436" spans="1:17" x14ac:dyDescent="0.25">
      <c r="A436" s="2" t="s">
        <v>1076</v>
      </c>
      <c r="B436" s="2" t="s">
        <v>1077</v>
      </c>
      <c r="C436" s="5">
        <v>0</v>
      </c>
      <c r="D436" s="3" t="b">
        <f>FALSE()</f>
        <v>0</v>
      </c>
      <c r="E436" s="3" t="b">
        <f>FALSE()</f>
        <v>0</v>
      </c>
      <c r="F436" s="2" t="s">
        <v>23</v>
      </c>
      <c r="G436" s="2" t="s">
        <v>364</v>
      </c>
      <c r="H436" s="2" t="s">
        <v>23</v>
      </c>
      <c r="I436" s="2" t="s">
        <v>487</v>
      </c>
      <c r="J436" s="3" t="b">
        <f>TRUE()</f>
        <v>1</v>
      </c>
      <c r="K436" s="10">
        <v>0</v>
      </c>
      <c r="L436" s="10">
        <v>0</v>
      </c>
      <c r="M436" s="2" t="s">
        <v>23</v>
      </c>
      <c r="N436" s="2" t="s">
        <v>23</v>
      </c>
      <c r="O436" s="2" t="s">
        <v>24</v>
      </c>
      <c r="P436" s="2" t="s">
        <v>367</v>
      </c>
      <c r="Q436" s="2" t="s">
        <v>23</v>
      </c>
    </row>
    <row r="437" spans="1:17" x14ac:dyDescent="0.25">
      <c r="A437" s="2" t="s">
        <v>1078</v>
      </c>
      <c r="B437" s="2" t="s">
        <v>1079</v>
      </c>
      <c r="C437" s="5">
        <v>0</v>
      </c>
      <c r="D437" s="3" t="b">
        <f>FALSE()</f>
        <v>0</v>
      </c>
      <c r="E437" s="3" t="b">
        <f>FALSE()</f>
        <v>0</v>
      </c>
      <c r="F437" s="2" t="s">
        <v>23</v>
      </c>
      <c r="G437" s="2" t="s">
        <v>364</v>
      </c>
      <c r="H437" s="2" t="s">
        <v>23</v>
      </c>
      <c r="I437" s="2" t="s">
        <v>487</v>
      </c>
      <c r="J437" s="3" t="b">
        <f>TRUE()</f>
        <v>1</v>
      </c>
      <c r="K437" s="10">
        <v>0</v>
      </c>
      <c r="L437" s="10">
        <v>0</v>
      </c>
      <c r="M437" s="2" t="s">
        <v>23</v>
      </c>
      <c r="N437" s="2" t="s">
        <v>23</v>
      </c>
      <c r="O437" s="2" t="s">
        <v>24</v>
      </c>
      <c r="P437" s="2" t="s">
        <v>367</v>
      </c>
      <c r="Q437" s="2" t="s">
        <v>23</v>
      </c>
    </row>
    <row r="438" spans="1:17" x14ac:dyDescent="0.25">
      <c r="A438" s="2" t="s">
        <v>1080</v>
      </c>
      <c r="B438" s="2" t="s">
        <v>1081</v>
      </c>
      <c r="C438" s="5">
        <v>0</v>
      </c>
      <c r="D438" s="3" t="b">
        <f>FALSE()</f>
        <v>0</v>
      </c>
      <c r="E438" s="3" t="b">
        <f>FALSE()</f>
        <v>0</v>
      </c>
      <c r="F438" s="2" t="s">
        <v>23</v>
      </c>
      <c r="G438" s="2" t="s">
        <v>364</v>
      </c>
      <c r="H438" s="2" t="s">
        <v>23</v>
      </c>
      <c r="I438" s="2" t="s">
        <v>487</v>
      </c>
      <c r="J438" s="3" t="b">
        <f>TRUE()</f>
        <v>1</v>
      </c>
      <c r="K438" s="10">
        <v>0</v>
      </c>
      <c r="L438" s="10">
        <v>0</v>
      </c>
      <c r="M438" s="2" t="s">
        <v>23</v>
      </c>
      <c r="N438" s="2" t="s">
        <v>23</v>
      </c>
      <c r="O438" s="2" t="s">
        <v>24</v>
      </c>
      <c r="P438" s="2" t="s">
        <v>367</v>
      </c>
      <c r="Q438" s="2" t="s">
        <v>23</v>
      </c>
    </row>
    <row r="439" spans="1:17" x14ac:dyDescent="0.25">
      <c r="A439" s="2" t="s">
        <v>1082</v>
      </c>
      <c r="B439" s="2" t="s">
        <v>1083</v>
      </c>
      <c r="C439" s="5">
        <v>0</v>
      </c>
      <c r="D439" s="3" t="b">
        <f>FALSE()</f>
        <v>0</v>
      </c>
      <c r="E439" s="3" t="b">
        <f>FALSE()</f>
        <v>0</v>
      </c>
      <c r="F439" s="2" t="s">
        <v>23</v>
      </c>
      <c r="G439" s="2" t="s">
        <v>364</v>
      </c>
      <c r="H439" s="2" t="s">
        <v>23</v>
      </c>
      <c r="I439" s="2" t="s">
        <v>487</v>
      </c>
      <c r="J439" s="3" t="b">
        <f>TRUE()</f>
        <v>1</v>
      </c>
      <c r="K439" s="10">
        <v>0</v>
      </c>
      <c r="L439" s="10">
        <v>0</v>
      </c>
      <c r="M439" s="2" t="s">
        <v>23</v>
      </c>
      <c r="N439" s="2" t="s">
        <v>23</v>
      </c>
      <c r="O439" s="2" t="s">
        <v>24</v>
      </c>
      <c r="P439" s="2" t="s">
        <v>367</v>
      </c>
      <c r="Q439" s="2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8160B-9FA2-49A9-B642-C312F82828EE}">
  <dimension ref="A1:L116"/>
  <sheetViews>
    <sheetView workbookViewId="0">
      <selection activeCell="I3" sqref="I3"/>
    </sheetView>
  </sheetViews>
  <sheetFormatPr defaultRowHeight="15" x14ac:dyDescent="0.25"/>
  <sheetData>
    <row r="1" spans="1:12" x14ac:dyDescent="0.25">
      <c r="A1" s="2" t="s">
        <v>190</v>
      </c>
      <c r="B1" s="2" t="s">
        <v>191</v>
      </c>
      <c r="C1" s="2" t="s">
        <v>192</v>
      </c>
    </row>
    <row r="3" spans="1:12" x14ac:dyDescent="0.25">
      <c r="A3" s="2" t="s">
        <v>193</v>
      </c>
      <c r="B3" s="2" t="s">
        <v>2</v>
      </c>
      <c r="C3" s="2" t="s">
        <v>194</v>
      </c>
      <c r="D3" s="2" t="s">
        <v>195</v>
      </c>
      <c r="E3" s="2" t="s">
        <v>196</v>
      </c>
      <c r="F3" s="2" t="s">
        <v>197</v>
      </c>
      <c r="G3" s="2" t="s">
        <v>9</v>
      </c>
      <c r="H3" s="2" t="s">
        <v>198</v>
      </c>
      <c r="I3" s="2" t="s">
        <v>199</v>
      </c>
      <c r="J3" s="2" t="s">
        <v>200</v>
      </c>
      <c r="K3" s="2" t="s">
        <v>201</v>
      </c>
      <c r="L3" s="2" t="s">
        <v>202</v>
      </c>
    </row>
    <row r="4" spans="1:12" x14ac:dyDescent="0.25">
      <c r="A4" s="2" t="s">
        <v>203</v>
      </c>
      <c r="B4" s="2" t="s">
        <v>204</v>
      </c>
      <c r="C4" s="2" t="s">
        <v>23</v>
      </c>
      <c r="D4" s="2" t="s">
        <v>203</v>
      </c>
      <c r="E4" s="2" t="s">
        <v>205</v>
      </c>
      <c r="F4" s="2" t="s">
        <v>23</v>
      </c>
      <c r="G4" s="2" t="s">
        <v>206</v>
      </c>
      <c r="H4" s="2" t="s">
        <v>207</v>
      </c>
      <c r="I4" s="2" t="s">
        <v>208</v>
      </c>
      <c r="J4" s="2" t="s">
        <v>207</v>
      </c>
      <c r="K4" s="2" t="s">
        <v>207</v>
      </c>
      <c r="L4" s="2" t="s">
        <v>23</v>
      </c>
    </row>
    <row r="5" spans="1:12" x14ac:dyDescent="0.25">
      <c r="A5" s="2" t="s">
        <v>203</v>
      </c>
      <c r="B5" s="2" t="s">
        <v>204</v>
      </c>
      <c r="C5" s="2" t="s">
        <v>23</v>
      </c>
      <c r="D5" s="2" t="s">
        <v>203</v>
      </c>
      <c r="E5" s="2" t="s">
        <v>209</v>
      </c>
      <c r="F5" s="2" t="s">
        <v>23</v>
      </c>
      <c r="G5" s="2" t="s">
        <v>210</v>
      </c>
      <c r="H5" s="2" t="s">
        <v>207</v>
      </c>
      <c r="I5" s="2" t="s">
        <v>208</v>
      </c>
      <c r="J5" s="2" t="s">
        <v>207</v>
      </c>
      <c r="K5" s="2" t="s">
        <v>207</v>
      </c>
      <c r="L5" s="2" t="s">
        <v>23</v>
      </c>
    </row>
    <row r="6" spans="1:12" x14ac:dyDescent="0.25">
      <c r="A6" s="2" t="s">
        <v>203</v>
      </c>
      <c r="B6" s="2" t="s">
        <v>20</v>
      </c>
      <c r="C6" s="2" t="s">
        <v>23</v>
      </c>
      <c r="D6" s="2" t="s">
        <v>203</v>
      </c>
      <c r="E6" s="2" t="s">
        <v>211</v>
      </c>
      <c r="F6" s="2" t="s">
        <v>23</v>
      </c>
      <c r="G6" s="2" t="s">
        <v>212</v>
      </c>
      <c r="H6" s="2" t="s">
        <v>207</v>
      </c>
      <c r="I6" s="2" t="s">
        <v>208</v>
      </c>
      <c r="J6" s="2" t="s">
        <v>207</v>
      </c>
      <c r="K6" s="2" t="s">
        <v>207</v>
      </c>
      <c r="L6" s="2" t="s">
        <v>23</v>
      </c>
    </row>
    <row r="7" spans="1:12" x14ac:dyDescent="0.25">
      <c r="A7" s="2" t="s">
        <v>203</v>
      </c>
      <c r="B7" s="2" t="s">
        <v>213</v>
      </c>
      <c r="C7" s="2" t="s">
        <v>23</v>
      </c>
      <c r="D7" s="2" t="s">
        <v>203</v>
      </c>
      <c r="E7" s="2" t="s">
        <v>214</v>
      </c>
      <c r="F7" s="2" t="s">
        <v>23</v>
      </c>
      <c r="G7" s="2" t="s">
        <v>215</v>
      </c>
      <c r="H7" s="2" t="s">
        <v>207</v>
      </c>
      <c r="I7" s="2" t="s">
        <v>208</v>
      </c>
      <c r="J7" s="2" t="s">
        <v>207</v>
      </c>
      <c r="K7" s="2" t="s">
        <v>207</v>
      </c>
      <c r="L7" s="2" t="s">
        <v>23</v>
      </c>
    </row>
    <row r="8" spans="1:12" x14ac:dyDescent="0.25">
      <c r="A8" s="2" t="s">
        <v>203</v>
      </c>
      <c r="B8" s="2" t="s">
        <v>213</v>
      </c>
      <c r="C8" s="2" t="s">
        <v>23</v>
      </c>
      <c r="D8" s="2" t="s">
        <v>203</v>
      </c>
      <c r="E8" s="2" t="s">
        <v>216</v>
      </c>
      <c r="F8" s="2" t="s">
        <v>23</v>
      </c>
      <c r="G8" s="2" t="s">
        <v>217</v>
      </c>
      <c r="H8" s="2" t="s">
        <v>207</v>
      </c>
      <c r="I8" s="2" t="s">
        <v>208</v>
      </c>
      <c r="J8" s="2" t="s">
        <v>207</v>
      </c>
      <c r="K8" s="2" t="s">
        <v>207</v>
      </c>
      <c r="L8" s="2" t="s">
        <v>23</v>
      </c>
    </row>
    <row r="9" spans="1:12" x14ac:dyDescent="0.25">
      <c r="A9" s="2" t="s">
        <v>203</v>
      </c>
      <c r="B9" s="2" t="s">
        <v>218</v>
      </c>
      <c r="C9" s="2" t="s">
        <v>23</v>
      </c>
      <c r="D9" s="2" t="s">
        <v>203</v>
      </c>
      <c r="E9" s="2" t="s">
        <v>219</v>
      </c>
      <c r="F9" s="2" t="s">
        <v>23</v>
      </c>
      <c r="G9" s="2" t="s">
        <v>220</v>
      </c>
      <c r="H9" s="2" t="s">
        <v>207</v>
      </c>
      <c r="I9" s="2" t="s">
        <v>221</v>
      </c>
      <c r="J9" s="2" t="s">
        <v>207</v>
      </c>
      <c r="K9" s="2" t="s">
        <v>207</v>
      </c>
      <c r="L9" s="2" t="s">
        <v>23</v>
      </c>
    </row>
    <row r="10" spans="1:12" x14ac:dyDescent="0.25">
      <c r="A10" s="2" t="s">
        <v>203</v>
      </c>
      <c r="B10" s="2" t="s">
        <v>218</v>
      </c>
      <c r="C10" s="2" t="s">
        <v>23</v>
      </c>
      <c r="D10" s="2" t="s">
        <v>203</v>
      </c>
      <c r="E10" s="2" t="s">
        <v>222</v>
      </c>
      <c r="F10" s="2" t="s">
        <v>23</v>
      </c>
      <c r="G10" s="2" t="s">
        <v>223</v>
      </c>
      <c r="H10" s="2" t="s">
        <v>207</v>
      </c>
      <c r="I10" s="2" t="s">
        <v>208</v>
      </c>
      <c r="J10" s="2" t="s">
        <v>207</v>
      </c>
      <c r="K10" s="2" t="s">
        <v>207</v>
      </c>
      <c r="L10" s="2" t="s">
        <v>23</v>
      </c>
    </row>
    <row r="11" spans="1:12" x14ac:dyDescent="0.25">
      <c r="A11" s="2" t="s">
        <v>203</v>
      </c>
      <c r="B11" s="2" t="s">
        <v>224</v>
      </c>
      <c r="C11" s="2" t="s">
        <v>23</v>
      </c>
      <c r="D11" s="2" t="s">
        <v>203</v>
      </c>
      <c r="E11" s="2" t="s">
        <v>27</v>
      </c>
      <c r="F11" s="2" t="s">
        <v>23</v>
      </c>
      <c r="G11" s="2" t="s">
        <v>225</v>
      </c>
      <c r="H11" s="2" t="s">
        <v>207</v>
      </c>
      <c r="I11" s="2" t="s">
        <v>208</v>
      </c>
      <c r="J11" s="2" t="s">
        <v>207</v>
      </c>
      <c r="K11" s="2" t="s">
        <v>207</v>
      </c>
      <c r="L11" s="2" t="s">
        <v>23</v>
      </c>
    </row>
    <row r="12" spans="1:12" x14ac:dyDescent="0.25">
      <c r="A12" s="2" t="s">
        <v>203</v>
      </c>
      <c r="B12" s="2" t="s">
        <v>224</v>
      </c>
      <c r="C12" s="2" t="s">
        <v>23</v>
      </c>
      <c r="D12" s="2" t="s">
        <v>203</v>
      </c>
      <c r="E12" s="2" t="s">
        <v>226</v>
      </c>
      <c r="F12" s="2" t="s">
        <v>23</v>
      </c>
      <c r="G12" s="2" t="s">
        <v>227</v>
      </c>
      <c r="H12" s="2" t="s">
        <v>207</v>
      </c>
      <c r="I12" s="2" t="s">
        <v>208</v>
      </c>
      <c r="J12" s="2" t="s">
        <v>207</v>
      </c>
      <c r="K12" s="2" t="s">
        <v>207</v>
      </c>
      <c r="L12" s="2" t="s">
        <v>23</v>
      </c>
    </row>
    <row r="13" spans="1:12" x14ac:dyDescent="0.25">
      <c r="A13" s="2" t="s">
        <v>203</v>
      </c>
      <c r="B13" s="2" t="s">
        <v>224</v>
      </c>
      <c r="C13" s="2" t="s">
        <v>23</v>
      </c>
      <c r="D13" s="2" t="s">
        <v>203</v>
      </c>
      <c r="E13" s="2" t="s">
        <v>228</v>
      </c>
      <c r="F13" s="2" t="s">
        <v>23</v>
      </c>
      <c r="G13" s="2" t="s">
        <v>229</v>
      </c>
      <c r="H13" s="2" t="s">
        <v>207</v>
      </c>
      <c r="I13" s="2" t="s">
        <v>208</v>
      </c>
      <c r="J13" s="2" t="s">
        <v>207</v>
      </c>
      <c r="K13" s="2" t="s">
        <v>207</v>
      </c>
      <c r="L13" s="2" t="s">
        <v>23</v>
      </c>
    </row>
    <row r="14" spans="1:12" x14ac:dyDescent="0.25">
      <c r="A14" s="2" t="s">
        <v>203</v>
      </c>
      <c r="B14" s="2" t="s">
        <v>230</v>
      </c>
      <c r="C14" s="2" t="s">
        <v>23</v>
      </c>
      <c r="D14" s="2" t="s">
        <v>203</v>
      </c>
      <c r="E14" s="2" t="s">
        <v>231</v>
      </c>
      <c r="F14" s="2" t="s">
        <v>23</v>
      </c>
      <c r="G14" s="2" t="s">
        <v>232</v>
      </c>
      <c r="H14" s="2" t="s">
        <v>207</v>
      </c>
      <c r="I14" s="2" t="s">
        <v>208</v>
      </c>
      <c r="J14" s="2" t="s">
        <v>207</v>
      </c>
      <c r="K14" s="2" t="s">
        <v>207</v>
      </c>
      <c r="L14" s="2" t="s">
        <v>23</v>
      </c>
    </row>
    <row r="15" spans="1:12" x14ac:dyDescent="0.25">
      <c r="A15" s="2" t="s">
        <v>203</v>
      </c>
      <c r="B15" s="2" t="s">
        <v>233</v>
      </c>
      <c r="C15" s="2" t="s">
        <v>23</v>
      </c>
      <c r="D15" s="2" t="s">
        <v>203</v>
      </c>
      <c r="E15" s="2" t="s">
        <v>234</v>
      </c>
      <c r="F15" s="2" t="s">
        <v>23</v>
      </c>
      <c r="G15" s="2" t="s">
        <v>235</v>
      </c>
      <c r="H15" s="2" t="s">
        <v>207</v>
      </c>
      <c r="I15" s="2" t="s">
        <v>208</v>
      </c>
      <c r="J15" s="2" t="s">
        <v>207</v>
      </c>
      <c r="K15" s="2" t="s">
        <v>207</v>
      </c>
      <c r="L15" s="2" t="s">
        <v>23</v>
      </c>
    </row>
    <row r="16" spans="1:12" x14ac:dyDescent="0.25">
      <c r="A16" s="2" t="s">
        <v>203</v>
      </c>
      <c r="B16" s="2" t="s">
        <v>236</v>
      </c>
      <c r="C16" s="2" t="s">
        <v>23</v>
      </c>
      <c r="D16" s="2" t="s">
        <v>203</v>
      </c>
      <c r="E16" s="2" t="s">
        <v>237</v>
      </c>
      <c r="F16" s="2" t="s">
        <v>23</v>
      </c>
      <c r="G16" s="2" t="s">
        <v>238</v>
      </c>
      <c r="H16" s="2" t="s">
        <v>207</v>
      </c>
      <c r="I16" s="2" t="s">
        <v>208</v>
      </c>
      <c r="J16" s="2" t="s">
        <v>207</v>
      </c>
      <c r="K16" s="2" t="s">
        <v>207</v>
      </c>
      <c r="L16" s="2" t="s">
        <v>23</v>
      </c>
    </row>
    <row r="17" spans="1:12" x14ac:dyDescent="0.25">
      <c r="A17" s="2" t="s">
        <v>203</v>
      </c>
      <c r="B17" s="2" t="s">
        <v>236</v>
      </c>
      <c r="C17" s="2" t="s">
        <v>23</v>
      </c>
      <c r="D17" s="2" t="s">
        <v>203</v>
      </c>
      <c r="E17" s="2" t="s">
        <v>239</v>
      </c>
      <c r="F17" s="2" t="s">
        <v>23</v>
      </c>
      <c r="G17" s="2" t="s">
        <v>240</v>
      </c>
      <c r="H17" s="2" t="s">
        <v>207</v>
      </c>
      <c r="I17" s="2" t="s">
        <v>208</v>
      </c>
      <c r="J17" s="2" t="s">
        <v>207</v>
      </c>
      <c r="K17" s="2" t="s">
        <v>207</v>
      </c>
      <c r="L17" s="2" t="s">
        <v>23</v>
      </c>
    </row>
    <row r="18" spans="1:12" x14ac:dyDescent="0.25">
      <c r="A18" s="2" t="s">
        <v>203</v>
      </c>
      <c r="B18" s="2" t="s">
        <v>241</v>
      </c>
      <c r="C18" s="2" t="s">
        <v>23</v>
      </c>
      <c r="D18" s="2" t="s">
        <v>203</v>
      </c>
      <c r="E18" s="2" t="s">
        <v>242</v>
      </c>
      <c r="F18" s="2" t="s">
        <v>23</v>
      </c>
      <c r="G18" s="2" t="s">
        <v>243</v>
      </c>
      <c r="H18" s="2" t="s">
        <v>207</v>
      </c>
      <c r="I18" s="2" t="s">
        <v>208</v>
      </c>
      <c r="J18" s="2" t="s">
        <v>207</v>
      </c>
      <c r="K18" s="2" t="s">
        <v>207</v>
      </c>
      <c r="L18" s="2" t="s">
        <v>23</v>
      </c>
    </row>
    <row r="19" spans="1:12" x14ac:dyDescent="0.25">
      <c r="A19" s="2" t="s">
        <v>203</v>
      </c>
      <c r="B19" s="2" t="s">
        <v>244</v>
      </c>
      <c r="C19" s="2" t="s">
        <v>23</v>
      </c>
      <c r="D19" s="2" t="s">
        <v>203</v>
      </c>
      <c r="E19" s="2" t="s">
        <v>245</v>
      </c>
      <c r="F19" s="2" t="s">
        <v>23</v>
      </c>
      <c r="G19" s="2" t="s">
        <v>246</v>
      </c>
      <c r="H19" s="2" t="s">
        <v>207</v>
      </c>
      <c r="I19" s="2" t="s">
        <v>208</v>
      </c>
      <c r="J19" s="2" t="s">
        <v>207</v>
      </c>
      <c r="K19" s="2" t="s">
        <v>207</v>
      </c>
      <c r="L19" s="2" t="s">
        <v>23</v>
      </c>
    </row>
    <row r="20" spans="1:12" x14ac:dyDescent="0.25">
      <c r="A20" s="2" t="s">
        <v>203</v>
      </c>
      <c r="B20" s="2" t="s">
        <v>244</v>
      </c>
      <c r="C20" s="2" t="s">
        <v>23</v>
      </c>
      <c r="D20" s="2" t="s">
        <v>203</v>
      </c>
      <c r="E20" s="2" t="s">
        <v>247</v>
      </c>
      <c r="F20" s="2" t="s">
        <v>23</v>
      </c>
      <c r="G20" s="2" t="s">
        <v>248</v>
      </c>
      <c r="H20" s="2" t="s">
        <v>207</v>
      </c>
      <c r="I20" s="2" t="s">
        <v>208</v>
      </c>
      <c r="J20" s="2" t="s">
        <v>207</v>
      </c>
      <c r="K20" s="2" t="s">
        <v>207</v>
      </c>
      <c r="L20" s="2" t="s">
        <v>23</v>
      </c>
    </row>
    <row r="21" spans="1:12" x14ac:dyDescent="0.25">
      <c r="A21" s="2" t="s">
        <v>203</v>
      </c>
      <c r="B21" s="2" t="s">
        <v>245</v>
      </c>
      <c r="C21" s="2" t="s">
        <v>23</v>
      </c>
      <c r="D21" s="2" t="s">
        <v>203</v>
      </c>
      <c r="E21" s="2" t="s">
        <v>244</v>
      </c>
      <c r="F21" s="2" t="s">
        <v>23</v>
      </c>
      <c r="G21" s="2" t="s">
        <v>249</v>
      </c>
      <c r="H21" s="2" t="s">
        <v>207</v>
      </c>
      <c r="I21" s="2" t="s">
        <v>208</v>
      </c>
      <c r="J21" s="2" t="s">
        <v>207</v>
      </c>
      <c r="K21" s="2" t="s">
        <v>207</v>
      </c>
      <c r="L21" s="2" t="s">
        <v>23</v>
      </c>
    </row>
    <row r="22" spans="1:12" x14ac:dyDescent="0.25">
      <c r="A22" s="2" t="s">
        <v>203</v>
      </c>
      <c r="B22" s="2" t="s">
        <v>245</v>
      </c>
      <c r="C22" s="2" t="s">
        <v>23</v>
      </c>
      <c r="D22" s="2" t="s">
        <v>203</v>
      </c>
      <c r="E22" s="2" t="s">
        <v>247</v>
      </c>
      <c r="F22" s="2" t="s">
        <v>23</v>
      </c>
      <c r="G22" s="2" t="s">
        <v>248</v>
      </c>
      <c r="H22" s="2" t="s">
        <v>207</v>
      </c>
      <c r="I22" s="2" t="s">
        <v>208</v>
      </c>
      <c r="J22" s="2" t="s">
        <v>207</v>
      </c>
      <c r="K22" s="2" t="s">
        <v>207</v>
      </c>
      <c r="L22" s="2" t="s">
        <v>23</v>
      </c>
    </row>
    <row r="23" spans="1:12" x14ac:dyDescent="0.25">
      <c r="A23" s="2" t="s">
        <v>203</v>
      </c>
      <c r="B23" s="2" t="s">
        <v>214</v>
      </c>
      <c r="C23" s="2" t="s">
        <v>23</v>
      </c>
      <c r="D23" s="2" t="s">
        <v>203</v>
      </c>
      <c r="E23" s="2" t="s">
        <v>213</v>
      </c>
      <c r="F23" s="2" t="s">
        <v>23</v>
      </c>
      <c r="G23" s="2" t="s">
        <v>250</v>
      </c>
      <c r="H23" s="2" t="s">
        <v>207</v>
      </c>
      <c r="I23" s="2" t="s">
        <v>208</v>
      </c>
      <c r="J23" s="2" t="s">
        <v>207</v>
      </c>
      <c r="K23" s="2" t="s">
        <v>207</v>
      </c>
      <c r="L23" s="2" t="s">
        <v>23</v>
      </c>
    </row>
    <row r="24" spans="1:12" x14ac:dyDescent="0.25">
      <c r="A24" s="2" t="s">
        <v>203</v>
      </c>
      <c r="B24" s="2" t="s">
        <v>214</v>
      </c>
      <c r="C24" s="2" t="s">
        <v>23</v>
      </c>
      <c r="D24" s="2" t="s">
        <v>203</v>
      </c>
      <c r="E24" s="2" t="s">
        <v>216</v>
      </c>
      <c r="F24" s="2" t="s">
        <v>23</v>
      </c>
      <c r="G24" s="2" t="s">
        <v>217</v>
      </c>
      <c r="H24" s="2" t="s">
        <v>207</v>
      </c>
      <c r="I24" s="2" t="s">
        <v>208</v>
      </c>
      <c r="J24" s="2" t="s">
        <v>207</v>
      </c>
      <c r="K24" s="2" t="s">
        <v>207</v>
      </c>
      <c r="L24" s="2" t="s">
        <v>23</v>
      </c>
    </row>
    <row r="25" spans="1:12" x14ac:dyDescent="0.25">
      <c r="A25" s="2" t="s">
        <v>203</v>
      </c>
      <c r="B25" s="2" t="s">
        <v>27</v>
      </c>
      <c r="C25" s="2" t="s">
        <v>23</v>
      </c>
      <c r="D25" s="2" t="s">
        <v>203</v>
      </c>
      <c r="E25" s="2" t="s">
        <v>224</v>
      </c>
      <c r="F25" s="2" t="s">
        <v>23</v>
      </c>
      <c r="G25" s="2" t="s">
        <v>251</v>
      </c>
      <c r="H25" s="2" t="s">
        <v>207</v>
      </c>
      <c r="I25" s="2" t="s">
        <v>208</v>
      </c>
      <c r="J25" s="2" t="s">
        <v>207</v>
      </c>
      <c r="K25" s="2" t="s">
        <v>207</v>
      </c>
      <c r="L25" s="2" t="s">
        <v>23</v>
      </c>
    </row>
    <row r="26" spans="1:12" x14ac:dyDescent="0.25">
      <c r="A26" s="2" t="s">
        <v>203</v>
      </c>
      <c r="B26" s="2" t="s">
        <v>27</v>
      </c>
      <c r="C26" s="2" t="s">
        <v>23</v>
      </c>
      <c r="D26" s="2" t="s">
        <v>203</v>
      </c>
      <c r="E26" s="2" t="s">
        <v>226</v>
      </c>
      <c r="F26" s="2" t="s">
        <v>23</v>
      </c>
      <c r="G26" s="2" t="s">
        <v>227</v>
      </c>
      <c r="H26" s="2" t="s">
        <v>207</v>
      </c>
      <c r="I26" s="2" t="s">
        <v>208</v>
      </c>
      <c r="J26" s="2" t="s">
        <v>207</v>
      </c>
      <c r="K26" s="2" t="s">
        <v>207</v>
      </c>
      <c r="L26" s="2" t="s">
        <v>23</v>
      </c>
    </row>
    <row r="27" spans="1:12" x14ac:dyDescent="0.25">
      <c r="A27" s="2" t="s">
        <v>203</v>
      </c>
      <c r="B27" s="2" t="s">
        <v>234</v>
      </c>
      <c r="C27" s="2" t="s">
        <v>23</v>
      </c>
      <c r="D27" s="2" t="s">
        <v>203</v>
      </c>
      <c r="E27" s="2" t="s">
        <v>233</v>
      </c>
      <c r="F27" s="2" t="s">
        <v>23</v>
      </c>
      <c r="G27" s="2" t="s">
        <v>252</v>
      </c>
      <c r="H27" s="2" t="s">
        <v>207</v>
      </c>
      <c r="I27" s="2" t="s">
        <v>208</v>
      </c>
      <c r="J27" s="2" t="s">
        <v>207</v>
      </c>
      <c r="K27" s="2" t="s">
        <v>207</v>
      </c>
      <c r="L27" s="2" t="s">
        <v>23</v>
      </c>
    </row>
    <row r="28" spans="1:12" x14ac:dyDescent="0.25">
      <c r="A28" s="2" t="s">
        <v>203</v>
      </c>
      <c r="B28" s="2" t="s">
        <v>242</v>
      </c>
      <c r="C28" s="2" t="s">
        <v>23</v>
      </c>
      <c r="D28" s="2" t="s">
        <v>203</v>
      </c>
      <c r="E28" s="2" t="s">
        <v>241</v>
      </c>
      <c r="F28" s="2" t="s">
        <v>23</v>
      </c>
      <c r="G28" s="2" t="s">
        <v>253</v>
      </c>
      <c r="H28" s="2" t="s">
        <v>207</v>
      </c>
      <c r="I28" s="2" t="s">
        <v>208</v>
      </c>
      <c r="J28" s="2" t="s">
        <v>207</v>
      </c>
      <c r="K28" s="2" t="s">
        <v>207</v>
      </c>
      <c r="L28" s="2" t="s">
        <v>23</v>
      </c>
    </row>
    <row r="29" spans="1:12" x14ac:dyDescent="0.25">
      <c r="A29" s="2" t="s">
        <v>203</v>
      </c>
      <c r="B29" s="2" t="s">
        <v>247</v>
      </c>
      <c r="C29" s="2" t="s">
        <v>23</v>
      </c>
      <c r="D29" s="2" t="s">
        <v>203</v>
      </c>
      <c r="E29" s="2" t="s">
        <v>244</v>
      </c>
      <c r="F29" s="2" t="s">
        <v>23</v>
      </c>
      <c r="G29" s="2" t="s">
        <v>249</v>
      </c>
      <c r="H29" s="2" t="s">
        <v>207</v>
      </c>
      <c r="I29" s="2" t="s">
        <v>208</v>
      </c>
      <c r="J29" s="2" t="s">
        <v>207</v>
      </c>
      <c r="K29" s="2" t="s">
        <v>207</v>
      </c>
      <c r="L29" s="2" t="s">
        <v>23</v>
      </c>
    </row>
    <row r="30" spans="1:12" x14ac:dyDescent="0.25">
      <c r="A30" s="2" t="s">
        <v>203</v>
      </c>
      <c r="B30" s="2" t="s">
        <v>247</v>
      </c>
      <c r="C30" s="2" t="s">
        <v>23</v>
      </c>
      <c r="D30" s="2" t="s">
        <v>203</v>
      </c>
      <c r="E30" s="2" t="s">
        <v>245</v>
      </c>
      <c r="F30" s="2" t="s">
        <v>23</v>
      </c>
      <c r="G30" s="2" t="s">
        <v>246</v>
      </c>
      <c r="H30" s="2" t="s">
        <v>207</v>
      </c>
      <c r="I30" s="2" t="s">
        <v>208</v>
      </c>
      <c r="J30" s="2" t="s">
        <v>207</v>
      </c>
      <c r="K30" s="2" t="s">
        <v>207</v>
      </c>
      <c r="L30" s="2" t="s">
        <v>23</v>
      </c>
    </row>
    <row r="31" spans="1:12" x14ac:dyDescent="0.25">
      <c r="A31" s="2" t="s">
        <v>203</v>
      </c>
      <c r="B31" s="2" t="s">
        <v>33</v>
      </c>
      <c r="C31" s="2" t="s">
        <v>23</v>
      </c>
      <c r="D31" s="2" t="s">
        <v>203</v>
      </c>
      <c r="E31" s="2" t="s">
        <v>254</v>
      </c>
      <c r="F31" s="2" t="s">
        <v>23</v>
      </c>
      <c r="G31" s="2" t="s">
        <v>255</v>
      </c>
      <c r="H31" s="2" t="s">
        <v>207</v>
      </c>
      <c r="I31" s="2" t="s">
        <v>208</v>
      </c>
      <c r="J31" s="2" t="s">
        <v>207</v>
      </c>
      <c r="K31" s="2" t="s">
        <v>207</v>
      </c>
      <c r="L31" s="2" t="s">
        <v>23</v>
      </c>
    </row>
    <row r="32" spans="1:12" x14ac:dyDescent="0.25">
      <c r="A32" s="2" t="s">
        <v>203</v>
      </c>
      <c r="B32" s="2" t="s">
        <v>33</v>
      </c>
      <c r="C32" s="2" t="s">
        <v>23</v>
      </c>
      <c r="D32" s="2" t="s">
        <v>203</v>
      </c>
      <c r="E32" s="2" t="s">
        <v>256</v>
      </c>
      <c r="F32" s="2" t="s">
        <v>23</v>
      </c>
      <c r="G32" s="2" t="s">
        <v>257</v>
      </c>
      <c r="H32" s="2" t="s">
        <v>207</v>
      </c>
      <c r="I32" s="2" t="s">
        <v>208</v>
      </c>
      <c r="J32" s="2" t="s">
        <v>207</v>
      </c>
      <c r="K32" s="2" t="s">
        <v>207</v>
      </c>
      <c r="L32" s="2" t="s">
        <v>23</v>
      </c>
    </row>
    <row r="33" spans="1:12" x14ac:dyDescent="0.25">
      <c r="A33" s="2" t="s">
        <v>203</v>
      </c>
      <c r="B33" s="2" t="s">
        <v>33</v>
      </c>
      <c r="C33" s="2" t="s">
        <v>23</v>
      </c>
      <c r="D33" s="2" t="s">
        <v>203</v>
      </c>
      <c r="E33" s="2" t="s">
        <v>123</v>
      </c>
      <c r="F33" s="2" t="s">
        <v>23</v>
      </c>
      <c r="G33" s="2" t="s">
        <v>124</v>
      </c>
      <c r="H33" s="2" t="s">
        <v>207</v>
      </c>
      <c r="I33" s="2" t="s">
        <v>208</v>
      </c>
      <c r="J33" s="2" t="s">
        <v>207</v>
      </c>
      <c r="K33" s="2" t="s">
        <v>207</v>
      </c>
      <c r="L33" s="2" t="s">
        <v>23</v>
      </c>
    </row>
    <row r="34" spans="1:12" x14ac:dyDescent="0.25">
      <c r="A34" s="2" t="s">
        <v>203</v>
      </c>
      <c r="B34" s="2" t="s">
        <v>258</v>
      </c>
      <c r="C34" s="2" t="s">
        <v>23</v>
      </c>
      <c r="D34" s="2" t="s">
        <v>203</v>
      </c>
      <c r="E34" s="2" t="s">
        <v>89</v>
      </c>
      <c r="F34" s="2" t="s">
        <v>23</v>
      </c>
      <c r="G34" s="2" t="s">
        <v>90</v>
      </c>
      <c r="H34" s="2" t="s">
        <v>207</v>
      </c>
      <c r="I34" s="2" t="s">
        <v>208</v>
      </c>
      <c r="J34" s="2" t="s">
        <v>207</v>
      </c>
      <c r="K34" s="2" t="s">
        <v>207</v>
      </c>
      <c r="L34" s="2" t="s">
        <v>23</v>
      </c>
    </row>
    <row r="35" spans="1:12" x14ac:dyDescent="0.25">
      <c r="A35" s="2" t="s">
        <v>203</v>
      </c>
      <c r="B35" s="2" t="s">
        <v>37</v>
      </c>
      <c r="C35" s="2" t="s">
        <v>23</v>
      </c>
      <c r="D35" s="2" t="s">
        <v>203</v>
      </c>
      <c r="E35" s="2" t="s">
        <v>259</v>
      </c>
      <c r="F35" s="2" t="s">
        <v>23</v>
      </c>
      <c r="G35" s="2" t="s">
        <v>260</v>
      </c>
      <c r="H35" s="2" t="s">
        <v>207</v>
      </c>
      <c r="I35" s="2" t="s">
        <v>208</v>
      </c>
      <c r="J35" s="2" t="s">
        <v>207</v>
      </c>
      <c r="K35" s="2" t="s">
        <v>207</v>
      </c>
      <c r="L35" s="2" t="s">
        <v>23</v>
      </c>
    </row>
    <row r="36" spans="1:12" x14ac:dyDescent="0.25">
      <c r="A36" s="2" t="s">
        <v>203</v>
      </c>
      <c r="B36" s="2" t="s">
        <v>261</v>
      </c>
      <c r="C36" s="2" t="s">
        <v>23</v>
      </c>
      <c r="D36" s="2" t="s">
        <v>203</v>
      </c>
      <c r="E36" s="2" t="s">
        <v>262</v>
      </c>
      <c r="F36" s="2" t="s">
        <v>23</v>
      </c>
      <c r="G36" s="2" t="s">
        <v>263</v>
      </c>
      <c r="H36" s="2" t="s">
        <v>207</v>
      </c>
      <c r="I36" s="2" t="s">
        <v>208</v>
      </c>
      <c r="J36" s="2" t="s">
        <v>207</v>
      </c>
      <c r="K36" s="2" t="s">
        <v>207</v>
      </c>
      <c r="L36" s="2" t="s">
        <v>23</v>
      </c>
    </row>
    <row r="37" spans="1:12" x14ac:dyDescent="0.25">
      <c r="A37" s="2" t="s">
        <v>203</v>
      </c>
      <c r="B37" s="2" t="s">
        <v>264</v>
      </c>
      <c r="C37" s="2" t="s">
        <v>23</v>
      </c>
      <c r="D37" s="2" t="s">
        <v>203</v>
      </c>
      <c r="E37" s="2" t="s">
        <v>265</v>
      </c>
      <c r="F37" s="2" t="s">
        <v>23</v>
      </c>
      <c r="G37" s="2" t="s">
        <v>266</v>
      </c>
      <c r="H37" s="2" t="s">
        <v>207</v>
      </c>
      <c r="I37" s="2" t="s">
        <v>208</v>
      </c>
      <c r="J37" s="2" t="s">
        <v>207</v>
      </c>
      <c r="K37" s="2" t="s">
        <v>207</v>
      </c>
      <c r="L37" s="2" t="s">
        <v>23</v>
      </c>
    </row>
    <row r="38" spans="1:12" x14ac:dyDescent="0.25">
      <c r="A38" s="2" t="s">
        <v>203</v>
      </c>
      <c r="B38" s="2" t="s">
        <v>267</v>
      </c>
      <c r="C38" s="2" t="s">
        <v>23</v>
      </c>
      <c r="D38" s="2" t="s">
        <v>203</v>
      </c>
      <c r="E38" s="2" t="s">
        <v>85</v>
      </c>
      <c r="F38" s="2" t="s">
        <v>23</v>
      </c>
      <c r="G38" s="2" t="s">
        <v>86</v>
      </c>
      <c r="H38" s="2" t="s">
        <v>207</v>
      </c>
      <c r="I38" s="2" t="s">
        <v>208</v>
      </c>
      <c r="J38" s="2" t="s">
        <v>207</v>
      </c>
      <c r="K38" s="2" t="s">
        <v>207</v>
      </c>
      <c r="L38" s="2" t="s">
        <v>23</v>
      </c>
    </row>
    <row r="39" spans="1:12" x14ac:dyDescent="0.25">
      <c r="A39" s="2" t="s">
        <v>203</v>
      </c>
      <c r="B39" s="2" t="s">
        <v>267</v>
      </c>
      <c r="C39" s="2" t="s">
        <v>23</v>
      </c>
      <c r="D39" s="2" t="s">
        <v>203</v>
      </c>
      <c r="E39" s="2" t="s">
        <v>268</v>
      </c>
      <c r="F39" s="2" t="s">
        <v>23</v>
      </c>
      <c r="G39" s="2" t="s">
        <v>269</v>
      </c>
      <c r="H39" s="2" t="s">
        <v>207</v>
      </c>
      <c r="I39" s="2" t="s">
        <v>208</v>
      </c>
      <c r="J39" s="2" t="s">
        <v>207</v>
      </c>
      <c r="K39" s="2" t="s">
        <v>207</v>
      </c>
      <c r="L39" s="2" t="s">
        <v>23</v>
      </c>
    </row>
    <row r="40" spans="1:12" x14ac:dyDescent="0.25">
      <c r="A40" s="2" t="s">
        <v>203</v>
      </c>
      <c r="B40" s="2" t="s">
        <v>270</v>
      </c>
      <c r="C40" s="2" t="s">
        <v>23</v>
      </c>
      <c r="D40" s="2" t="s">
        <v>203</v>
      </c>
      <c r="E40" s="2" t="s">
        <v>271</v>
      </c>
      <c r="F40" s="2" t="s">
        <v>23</v>
      </c>
      <c r="G40" s="2" t="s">
        <v>272</v>
      </c>
      <c r="H40" s="2" t="s">
        <v>207</v>
      </c>
      <c r="I40" s="2" t="s">
        <v>208</v>
      </c>
      <c r="J40" s="2" t="s">
        <v>207</v>
      </c>
      <c r="K40" s="2" t="s">
        <v>207</v>
      </c>
      <c r="L40" s="2" t="s">
        <v>23</v>
      </c>
    </row>
    <row r="41" spans="1:12" x14ac:dyDescent="0.25">
      <c r="A41" s="2" t="s">
        <v>203</v>
      </c>
      <c r="B41" s="2" t="s">
        <v>270</v>
      </c>
      <c r="C41" s="2" t="s">
        <v>23</v>
      </c>
      <c r="D41" s="2" t="s">
        <v>203</v>
      </c>
      <c r="E41" s="2" t="s">
        <v>273</v>
      </c>
      <c r="F41" s="2" t="s">
        <v>23</v>
      </c>
      <c r="G41" s="2" t="s">
        <v>274</v>
      </c>
      <c r="H41" s="2" t="s">
        <v>207</v>
      </c>
      <c r="I41" s="2" t="s">
        <v>208</v>
      </c>
      <c r="J41" s="2" t="s">
        <v>207</v>
      </c>
      <c r="K41" s="2" t="s">
        <v>207</v>
      </c>
      <c r="L41" s="2" t="s">
        <v>23</v>
      </c>
    </row>
    <row r="42" spans="1:12" x14ac:dyDescent="0.25">
      <c r="A42" s="2" t="s">
        <v>203</v>
      </c>
      <c r="B42" s="2" t="s">
        <v>275</v>
      </c>
      <c r="C42" s="2" t="s">
        <v>23</v>
      </c>
      <c r="D42" s="2" t="s">
        <v>203</v>
      </c>
      <c r="E42" s="2" t="s">
        <v>276</v>
      </c>
      <c r="F42" s="2" t="s">
        <v>23</v>
      </c>
      <c r="G42" s="2" t="s">
        <v>277</v>
      </c>
      <c r="H42" s="2" t="s">
        <v>207</v>
      </c>
      <c r="I42" s="2" t="s">
        <v>208</v>
      </c>
      <c r="J42" s="2" t="s">
        <v>207</v>
      </c>
      <c r="K42" s="2" t="s">
        <v>207</v>
      </c>
      <c r="L42" s="2" t="s">
        <v>23</v>
      </c>
    </row>
    <row r="43" spans="1:12" x14ac:dyDescent="0.25">
      <c r="A43" s="2" t="s">
        <v>203</v>
      </c>
      <c r="B43" s="2" t="s">
        <v>278</v>
      </c>
      <c r="C43" s="2" t="s">
        <v>23</v>
      </c>
      <c r="D43" s="2" t="s">
        <v>203</v>
      </c>
      <c r="E43" s="2" t="s">
        <v>279</v>
      </c>
      <c r="F43" s="2" t="s">
        <v>23</v>
      </c>
      <c r="G43" s="2" t="s">
        <v>280</v>
      </c>
      <c r="H43" s="2" t="s">
        <v>207</v>
      </c>
      <c r="I43" s="2" t="s">
        <v>208</v>
      </c>
      <c r="J43" s="2" t="s">
        <v>207</v>
      </c>
      <c r="K43" s="2" t="s">
        <v>207</v>
      </c>
      <c r="L43" s="2" t="s">
        <v>23</v>
      </c>
    </row>
    <row r="44" spans="1:12" x14ac:dyDescent="0.25">
      <c r="A44" s="2" t="s">
        <v>203</v>
      </c>
      <c r="B44" s="2" t="s">
        <v>281</v>
      </c>
      <c r="C44" s="2" t="s">
        <v>23</v>
      </c>
      <c r="D44" s="2" t="s">
        <v>203</v>
      </c>
      <c r="E44" s="2" t="s">
        <v>77</v>
      </c>
      <c r="F44" s="2" t="s">
        <v>23</v>
      </c>
      <c r="G44" s="2" t="s">
        <v>78</v>
      </c>
      <c r="H44" s="2" t="s">
        <v>207</v>
      </c>
      <c r="I44" s="2" t="s">
        <v>208</v>
      </c>
      <c r="J44" s="2" t="s">
        <v>207</v>
      </c>
      <c r="K44" s="2" t="s">
        <v>207</v>
      </c>
      <c r="L44" s="2" t="s">
        <v>23</v>
      </c>
    </row>
    <row r="45" spans="1:12" x14ac:dyDescent="0.25">
      <c r="A45" s="2" t="s">
        <v>203</v>
      </c>
      <c r="B45" s="2" t="s">
        <v>281</v>
      </c>
      <c r="C45" s="2" t="s">
        <v>23</v>
      </c>
      <c r="D45" s="2" t="s">
        <v>203</v>
      </c>
      <c r="E45" s="2" t="s">
        <v>150</v>
      </c>
      <c r="F45" s="2" t="s">
        <v>23</v>
      </c>
      <c r="G45" s="2" t="s">
        <v>151</v>
      </c>
      <c r="H45" s="2" t="s">
        <v>207</v>
      </c>
      <c r="I45" s="2" t="s">
        <v>208</v>
      </c>
      <c r="J45" s="2" t="s">
        <v>207</v>
      </c>
      <c r="K45" s="2" t="s">
        <v>207</v>
      </c>
      <c r="L45" s="2" t="s">
        <v>23</v>
      </c>
    </row>
    <row r="46" spans="1:12" x14ac:dyDescent="0.25">
      <c r="A46" s="2" t="s">
        <v>203</v>
      </c>
      <c r="B46" s="2" t="s">
        <v>47</v>
      </c>
      <c r="C46" s="2" t="s">
        <v>23</v>
      </c>
      <c r="D46" s="2" t="s">
        <v>203</v>
      </c>
      <c r="E46" s="2" t="s">
        <v>282</v>
      </c>
      <c r="F46" s="2" t="s">
        <v>23</v>
      </c>
      <c r="G46" s="2" t="s">
        <v>283</v>
      </c>
      <c r="H46" s="2" t="s">
        <v>207</v>
      </c>
      <c r="I46" s="2" t="s">
        <v>208</v>
      </c>
      <c r="J46" s="2" t="s">
        <v>207</v>
      </c>
      <c r="K46" s="2" t="s">
        <v>207</v>
      </c>
      <c r="L46" s="2" t="s">
        <v>23</v>
      </c>
    </row>
    <row r="47" spans="1:12" x14ac:dyDescent="0.25">
      <c r="A47" s="2" t="s">
        <v>203</v>
      </c>
      <c r="B47" s="2" t="s">
        <v>49</v>
      </c>
      <c r="C47" s="2" t="s">
        <v>23</v>
      </c>
      <c r="D47" s="2" t="s">
        <v>203</v>
      </c>
      <c r="E47" s="2" t="s">
        <v>284</v>
      </c>
      <c r="F47" s="2" t="s">
        <v>23</v>
      </c>
      <c r="G47" s="2" t="s">
        <v>285</v>
      </c>
      <c r="H47" s="2" t="s">
        <v>207</v>
      </c>
      <c r="I47" s="2" t="s">
        <v>208</v>
      </c>
      <c r="J47" s="2" t="s">
        <v>207</v>
      </c>
      <c r="K47" s="2" t="s">
        <v>207</v>
      </c>
      <c r="L47" s="2" t="s">
        <v>23</v>
      </c>
    </row>
    <row r="48" spans="1:12" x14ac:dyDescent="0.25">
      <c r="A48" s="2" t="s">
        <v>203</v>
      </c>
      <c r="B48" s="2" t="s">
        <v>286</v>
      </c>
      <c r="C48" s="2" t="s">
        <v>23</v>
      </c>
      <c r="D48" s="2" t="s">
        <v>203</v>
      </c>
      <c r="E48" s="2" t="s">
        <v>287</v>
      </c>
      <c r="F48" s="2" t="s">
        <v>23</v>
      </c>
      <c r="G48" s="2" t="s">
        <v>288</v>
      </c>
      <c r="H48" s="2" t="s">
        <v>207</v>
      </c>
      <c r="I48" s="2" t="s">
        <v>208</v>
      </c>
      <c r="J48" s="2" t="s">
        <v>207</v>
      </c>
      <c r="K48" s="2" t="s">
        <v>207</v>
      </c>
      <c r="L48" s="2" t="s">
        <v>23</v>
      </c>
    </row>
    <row r="49" spans="1:12" x14ac:dyDescent="0.25">
      <c r="A49" s="2" t="s">
        <v>203</v>
      </c>
      <c r="B49" s="2" t="s">
        <v>289</v>
      </c>
      <c r="C49" s="2" t="s">
        <v>23</v>
      </c>
      <c r="D49" s="2" t="s">
        <v>203</v>
      </c>
      <c r="E49" s="2" t="s">
        <v>91</v>
      </c>
      <c r="F49" s="2" t="s">
        <v>23</v>
      </c>
      <c r="G49" s="2" t="s">
        <v>92</v>
      </c>
      <c r="H49" s="2" t="s">
        <v>207</v>
      </c>
      <c r="I49" s="2" t="s">
        <v>208</v>
      </c>
      <c r="J49" s="2" t="s">
        <v>207</v>
      </c>
      <c r="K49" s="2" t="s">
        <v>207</v>
      </c>
      <c r="L49" s="2" t="s">
        <v>23</v>
      </c>
    </row>
    <row r="50" spans="1:12" x14ac:dyDescent="0.25">
      <c r="A50" s="2" t="s">
        <v>203</v>
      </c>
      <c r="B50" s="2" t="s">
        <v>271</v>
      </c>
      <c r="C50" s="2" t="s">
        <v>23</v>
      </c>
      <c r="D50" s="2" t="s">
        <v>203</v>
      </c>
      <c r="E50" s="2" t="s">
        <v>270</v>
      </c>
      <c r="F50" s="2" t="s">
        <v>23</v>
      </c>
      <c r="G50" s="2" t="s">
        <v>290</v>
      </c>
      <c r="H50" s="2" t="s">
        <v>207</v>
      </c>
      <c r="I50" s="2" t="s">
        <v>208</v>
      </c>
      <c r="J50" s="2" t="s">
        <v>207</v>
      </c>
      <c r="K50" s="2" t="s">
        <v>207</v>
      </c>
      <c r="L50" s="2" t="s">
        <v>23</v>
      </c>
    </row>
    <row r="51" spans="1:12" x14ac:dyDescent="0.25">
      <c r="A51" s="2" t="s">
        <v>203</v>
      </c>
      <c r="B51" s="2" t="s">
        <v>60</v>
      </c>
      <c r="C51" s="2" t="s">
        <v>23</v>
      </c>
      <c r="D51" s="2" t="s">
        <v>203</v>
      </c>
      <c r="E51" s="2" t="s">
        <v>144</v>
      </c>
      <c r="F51" s="2" t="s">
        <v>23</v>
      </c>
      <c r="G51" s="2" t="s">
        <v>291</v>
      </c>
      <c r="H51" s="2" t="s">
        <v>207</v>
      </c>
      <c r="I51" s="2" t="s">
        <v>208</v>
      </c>
      <c r="J51" s="2" t="s">
        <v>207</v>
      </c>
      <c r="K51" s="2" t="s">
        <v>207</v>
      </c>
      <c r="L51" s="2" t="s">
        <v>23</v>
      </c>
    </row>
    <row r="52" spans="1:12" x14ac:dyDescent="0.25">
      <c r="A52" s="2" t="s">
        <v>203</v>
      </c>
      <c r="B52" s="2" t="s">
        <v>69</v>
      </c>
      <c r="C52" s="2" t="s">
        <v>23</v>
      </c>
      <c r="D52" s="2" t="s">
        <v>203</v>
      </c>
      <c r="E52" s="2" t="s">
        <v>292</v>
      </c>
      <c r="F52" s="2" t="s">
        <v>23</v>
      </c>
      <c r="G52" s="2" t="s">
        <v>293</v>
      </c>
      <c r="H52" s="2" t="s">
        <v>207</v>
      </c>
      <c r="I52" s="2" t="s">
        <v>208</v>
      </c>
      <c r="J52" s="2" t="s">
        <v>207</v>
      </c>
      <c r="K52" s="2" t="s">
        <v>207</v>
      </c>
      <c r="L52" s="2" t="s">
        <v>23</v>
      </c>
    </row>
    <row r="53" spans="1:12" x14ac:dyDescent="0.25">
      <c r="A53" s="2" t="s">
        <v>203</v>
      </c>
      <c r="B53" s="2" t="s">
        <v>294</v>
      </c>
      <c r="C53" s="2" t="s">
        <v>23</v>
      </c>
      <c r="D53" s="2" t="s">
        <v>203</v>
      </c>
      <c r="E53" s="2" t="s">
        <v>158</v>
      </c>
      <c r="F53" s="2" t="s">
        <v>23</v>
      </c>
      <c r="G53" s="2" t="s">
        <v>159</v>
      </c>
      <c r="H53" s="2" t="s">
        <v>207</v>
      </c>
      <c r="I53" s="2" t="s">
        <v>208</v>
      </c>
      <c r="J53" s="2" t="s">
        <v>207</v>
      </c>
      <c r="K53" s="2" t="s">
        <v>207</v>
      </c>
      <c r="L53" s="2" t="s">
        <v>23</v>
      </c>
    </row>
    <row r="54" spans="1:12" x14ac:dyDescent="0.25">
      <c r="A54" s="2" t="s">
        <v>203</v>
      </c>
      <c r="B54" s="2" t="s">
        <v>77</v>
      </c>
      <c r="C54" s="2" t="s">
        <v>23</v>
      </c>
      <c r="D54" s="2" t="s">
        <v>203</v>
      </c>
      <c r="E54" s="2" t="s">
        <v>281</v>
      </c>
      <c r="F54" s="2" t="s">
        <v>23</v>
      </c>
      <c r="G54" s="2" t="s">
        <v>295</v>
      </c>
      <c r="H54" s="2" t="s">
        <v>207</v>
      </c>
      <c r="I54" s="2" t="s">
        <v>208</v>
      </c>
      <c r="J54" s="2" t="s">
        <v>207</v>
      </c>
      <c r="K54" s="2" t="s">
        <v>207</v>
      </c>
      <c r="L54" s="2" t="s">
        <v>23</v>
      </c>
    </row>
    <row r="55" spans="1:12" x14ac:dyDescent="0.25">
      <c r="A55" s="2" t="s">
        <v>203</v>
      </c>
      <c r="B55" s="2" t="s">
        <v>79</v>
      </c>
      <c r="C55" s="2" t="s">
        <v>23</v>
      </c>
      <c r="D55" s="2" t="s">
        <v>203</v>
      </c>
      <c r="E55" s="2" t="s">
        <v>115</v>
      </c>
      <c r="F55" s="2" t="s">
        <v>23</v>
      </c>
      <c r="G55" s="2" t="s">
        <v>116</v>
      </c>
      <c r="H55" s="2" t="s">
        <v>207</v>
      </c>
      <c r="I55" s="2" t="s">
        <v>208</v>
      </c>
      <c r="J55" s="2" t="s">
        <v>207</v>
      </c>
      <c r="K55" s="2" t="s">
        <v>207</v>
      </c>
      <c r="L55" s="2" t="s">
        <v>23</v>
      </c>
    </row>
    <row r="56" spans="1:12" x14ac:dyDescent="0.25">
      <c r="A56" s="2" t="s">
        <v>203</v>
      </c>
      <c r="B56" s="2" t="s">
        <v>81</v>
      </c>
      <c r="C56" s="2" t="s">
        <v>23</v>
      </c>
      <c r="D56" s="2" t="s">
        <v>203</v>
      </c>
      <c r="E56" s="2" t="s">
        <v>148</v>
      </c>
      <c r="F56" s="2" t="s">
        <v>23</v>
      </c>
      <c r="G56" s="2" t="s">
        <v>149</v>
      </c>
      <c r="H56" s="2" t="s">
        <v>207</v>
      </c>
      <c r="I56" s="2" t="s">
        <v>208</v>
      </c>
      <c r="J56" s="2" t="s">
        <v>207</v>
      </c>
      <c r="K56" s="2" t="s">
        <v>207</v>
      </c>
      <c r="L56" s="2" t="s">
        <v>23</v>
      </c>
    </row>
    <row r="57" spans="1:12" x14ac:dyDescent="0.25">
      <c r="A57" s="2" t="s">
        <v>203</v>
      </c>
      <c r="B57" s="2" t="s">
        <v>85</v>
      </c>
      <c r="C57" s="2" t="s">
        <v>23</v>
      </c>
      <c r="D57" s="2" t="s">
        <v>203</v>
      </c>
      <c r="E57" s="2" t="s">
        <v>267</v>
      </c>
      <c r="F57" s="2" t="s">
        <v>23</v>
      </c>
      <c r="G57" s="2" t="s">
        <v>296</v>
      </c>
      <c r="H57" s="2" t="s">
        <v>207</v>
      </c>
      <c r="I57" s="2" t="s">
        <v>208</v>
      </c>
      <c r="J57" s="2" t="s">
        <v>207</v>
      </c>
      <c r="K57" s="2" t="s">
        <v>207</v>
      </c>
      <c r="L57" s="2" t="s">
        <v>23</v>
      </c>
    </row>
    <row r="58" spans="1:12" x14ac:dyDescent="0.25">
      <c r="A58" s="2" t="s">
        <v>203</v>
      </c>
      <c r="B58" s="2" t="s">
        <v>85</v>
      </c>
      <c r="C58" s="2" t="s">
        <v>23</v>
      </c>
      <c r="D58" s="2" t="s">
        <v>203</v>
      </c>
      <c r="E58" s="2" t="s">
        <v>268</v>
      </c>
      <c r="F58" s="2" t="s">
        <v>23</v>
      </c>
      <c r="G58" s="2" t="s">
        <v>269</v>
      </c>
      <c r="H58" s="2" t="s">
        <v>207</v>
      </c>
      <c r="I58" s="2" t="s">
        <v>208</v>
      </c>
      <c r="J58" s="2" t="s">
        <v>207</v>
      </c>
      <c r="K58" s="2" t="s">
        <v>207</v>
      </c>
      <c r="L58" s="2" t="s">
        <v>23</v>
      </c>
    </row>
    <row r="59" spans="1:12" x14ac:dyDescent="0.25">
      <c r="A59" s="2" t="s">
        <v>203</v>
      </c>
      <c r="B59" s="2" t="s">
        <v>211</v>
      </c>
      <c r="C59" s="2" t="s">
        <v>23</v>
      </c>
      <c r="D59" s="2" t="s">
        <v>203</v>
      </c>
      <c r="E59" s="2" t="s">
        <v>20</v>
      </c>
      <c r="F59" s="2" t="s">
        <v>23</v>
      </c>
      <c r="G59" s="2" t="s">
        <v>297</v>
      </c>
      <c r="H59" s="2" t="s">
        <v>207</v>
      </c>
      <c r="I59" s="2" t="s">
        <v>208</v>
      </c>
      <c r="J59" s="2" t="s">
        <v>207</v>
      </c>
      <c r="K59" s="2" t="s">
        <v>207</v>
      </c>
      <c r="L59" s="2" t="s">
        <v>23</v>
      </c>
    </row>
    <row r="60" spans="1:12" x14ac:dyDescent="0.25">
      <c r="A60" s="2" t="s">
        <v>203</v>
      </c>
      <c r="B60" s="2" t="s">
        <v>219</v>
      </c>
      <c r="C60" s="2" t="s">
        <v>23</v>
      </c>
      <c r="D60" s="2" t="s">
        <v>203</v>
      </c>
      <c r="E60" s="2" t="s">
        <v>222</v>
      </c>
      <c r="F60" s="2" t="s">
        <v>23</v>
      </c>
      <c r="G60" s="2" t="s">
        <v>223</v>
      </c>
      <c r="H60" s="2" t="s">
        <v>207</v>
      </c>
      <c r="I60" s="2" t="s">
        <v>208</v>
      </c>
      <c r="J60" s="2" t="s">
        <v>207</v>
      </c>
      <c r="K60" s="2" t="s">
        <v>207</v>
      </c>
      <c r="L60" s="2" t="s">
        <v>23</v>
      </c>
    </row>
    <row r="61" spans="1:12" x14ac:dyDescent="0.25">
      <c r="A61" s="2" t="s">
        <v>203</v>
      </c>
      <c r="B61" s="2" t="s">
        <v>273</v>
      </c>
      <c r="C61" s="2" t="s">
        <v>23</v>
      </c>
      <c r="D61" s="2" t="s">
        <v>203</v>
      </c>
      <c r="E61" s="2" t="s">
        <v>270</v>
      </c>
      <c r="F61" s="2" t="s">
        <v>23</v>
      </c>
      <c r="G61" s="2" t="s">
        <v>290</v>
      </c>
      <c r="H61" s="2" t="s">
        <v>207</v>
      </c>
      <c r="I61" s="2" t="s">
        <v>208</v>
      </c>
      <c r="J61" s="2" t="s">
        <v>207</v>
      </c>
      <c r="K61" s="2" t="s">
        <v>207</v>
      </c>
      <c r="L61" s="2" t="s">
        <v>23</v>
      </c>
    </row>
    <row r="62" spans="1:12" x14ac:dyDescent="0.25">
      <c r="A62" s="2" t="s">
        <v>203</v>
      </c>
      <c r="B62" s="2" t="s">
        <v>273</v>
      </c>
      <c r="C62" s="2" t="s">
        <v>23</v>
      </c>
      <c r="D62" s="2" t="s">
        <v>203</v>
      </c>
      <c r="E62" s="2" t="s">
        <v>298</v>
      </c>
      <c r="F62" s="2" t="s">
        <v>23</v>
      </c>
      <c r="G62" s="2" t="s">
        <v>299</v>
      </c>
      <c r="H62" s="2" t="s">
        <v>207</v>
      </c>
      <c r="I62" s="2" t="s">
        <v>208</v>
      </c>
      <c r="J62" s="2" t="s">
        <v>207</v>
      </c>
      <c r="K62" s="2" t="s">
        <v>207</v>
      </c>
      <c r="L62" s="2" t="s">
        <v>23</v>
      </c>
    </row>
    <row r="63" spans="1:12" x14ac:dyDescent="0.25">
      <c r="A63" s="2" t="s">
        <v>203</v>
      </c>
      <c r="B63" s="2" t="s">
        <v>254</v>
      </c>
      <c r="C63" s="2" t="s">
        <v>23</v>
      </c>
      <c r="D63" s="2" t="s">
        <v>203</v>
      </c>
      <c r="E63" s="2" t="s">
        <v>33</v>
      </c>
      <c r="F63" s="2" t="s">
        <v>23</v>
      </c>
      <c r="G63" s="2" t="s">
        <v>34</v>
      </c>
      <c r="H63" s="2" t="s">
        <v>207</v>
      </c>
      <c r="I63" s="2" t="s">
        <v>208</v>
      </c>
      <c r="J63" s="2" t="s">
        <v>207</v>
      </c>
      <c r="K63" s="2" t="s">
        <v>207</v>
      </c>
      <c r="L63" s="2" t="s">
        <v>23</v>
      </c>
    </row>
    <row r="64" spans="1:12" x14ac:dyDescent="0.25">
      <c r="A64" s="2" t="s">
        <v>203</v>
      </c>
      <c r="B64" s="2" t="s">
        <v>254</v>
      </c>
      <c r="C64" s="2" t="s">
        <v>23</v>
      </c>
      <c r="D64" s="2" t="s">
        <v>203</v>
      </c>
      <c r="E64" s="2" t="s">
        <v>256</v>
      </c>
      <c r="F64" s="2" t="s">
        <v>23</v>
      </c>
      <c r="G64" s="2" t="s">
        <v>257</v>
      </c>
      <c r="H64" s="2" t="s">
        <v>207</v>
      </c>
      <c r="I64" s="2" t="s">
        <v>208</v>
      </c>
      <c r="J64" s="2" t="s">
        <v>207</v>
      </c>
      <c r="K64" s="2" t="s">
        <v>207</v>
      </c>
      <c r="L64" s="2" t="s">
        <v>23</v>
      </c>
    </row>
    <row r="65" spans="1:12" x14ac:dyDescent="0.25">
      <c r="A65" s="2" t="s">
        <v>203</v>
      </c>
      <c r="B65" s="2" t="s">
        <v>256</v>
      </c>
      <c r="C65" s="2" t="s">
        <v>23</v>
      </c>
      <c r="D65" s="2" t="s">
        <v>203</v>
      </c>
      <c r="E65" s="2" t="s">
        <v>33</v>
      </c>
      <c r="F65" s="2" t="s">
        <v>23</v>
      </c>
      <c r="G65" s="2" t="s">
        <v>34</v>
      </c>
      <c r="H65" s="2" t="s">
        <v>207</v>
      </c>
      <c r="I65" s="2" t="s">
        <v>208</v>
      </c>
      <c r="J65" s="2" t="s">
        <v>207</v>
      </c>
      <c r="K65" s="2" t="s">
        <v>207</v>
      </c>
      <c r="L65" s="2" t="s">
        <v>23</v>
      </c>
    </row>
    <row r="66" spans="1:12" x14ac:dyDescent="0.25">
      <c r="A66" s="2" t="s">
        <v>203</v>
      </c>
      <c r="B66" s="2" t="s">
        <v>256</v>
      </c>
      <c r="C66" s="2" t="s">
        <v>23</v>
      </c>
      <c r="D66" s="2" t="s">
        <v>203</v>
      </c>
      <c r="E66" s="2" t="s">
        <v>254</v>
      </c>
      <c r="F66" s="2" t="s">
        <v>23</v>
      </c>
      <c r="G66" s="2" t="s">
        <v>255</v>
      </c>
      <c r="H66" s="2" t="s">
        <v>207</v>
      </c>
      <c r="I66" s="2" t="s">
        <v>208</v>
      </c>
      <c r="J66" s="2" t="s">
        <v>207</v>
      </c>
      <c r="K66" s="2" t="s">
        <v>207</v>
      </c>
      <c r="L66" s="2" t="s">
        <v>23</v>
      </c>
    </row>
    <row r="67" spans="1:12" x14ac:dyDescent="0.25">
      <c r="A67" s="2" t="s">
        <v>203</v>
      </c>
      <c r="B67" s="2" t="s">
        <v>89</v>
      </c>
      <c r="C67" s="2" t="s">
        <v>23</v>
      </c>
      <c r="D67" s="2" t="s">
        <v>203</v>
      </c>
      <c r="E67" s="2" t="s">
        <v>258</v>
      </c>
      <c r="F67" s="2" t="s">
        <v>23</v>
      </c>
      <c r="G67" s="2" t="s">
        <v>300</v>
      </c>
      <c r="H67" s="2" t="s">
        <v>207</v>
      </c>
      <c r="I67" s="2" t="s">
        <v>221</v>
      </c>
      <c r="J67" s="2" t="s">
        <v>207</v>
      </c>
      <c r="K67" s="2" t="s">
        <v>207</v>
      </c>
      <c r="L67" s="2" t="s">
        <v>23</v>
      </c>
    </row>
    <row r="68" spans="1:12" x14ac:dyDescent="0.25">
      <c r="A68" s="2" t="s">
        <v>203</v>
      </c>
      <c r="B68" s="2" t="s">
        <v>226</v>
      </c>
      <c r="C68" s="2" t="s">
        <v>23</v>
      </c>
      <c r="D68" s="2" t="s">
        <v>203</v>
      </c>
      <c r="E68" s="2" t="s">
        <v>224</v>
      </c>
      <c r="F68" s="2" t="s">
        <v>23</v>
      </c>
      <c r="G68" s="2" t="s">
        <v>251</v>
      </c>
      <c r="H68" s="2" t="s">
        <v>207</v>
      </c>
      <c r="I68" s="2" t="s">
        <v>208</v>
      </c>
      <c r="J68" s="2" t="s">
        <v>207</v>
      </c>
      <c r="K68" s="2" t="s">
        <v>207</v>
      </c>
      <c r="L68" s="2" t="s">
        <v>23</v>
      </c>
    </row>
    <row r="69" spans="1:12" x14ac:dyDescent="0.25">
      <c r="A69" s="2" t="s">
        <v>203</v>
      </c>
      <c r="B69" s="2" t="s">
        <v>226</v>
      </c>
      <c r="C69" s="2" t="s">
        <v>23</v>
      </c>
      <c r="D69" s="2" t="s">
        <v>203</v>
      </c>
      <c r="E69" s="2" t="s">
        <v>27</v>
      </c>
      <c r="F69" s="2" t="s">
        <v>23</v>
      </c>
      <c r="G69" s="2" t="s">
        <v>225</v>
      </c>
      <c r="H69" s="2" t="s">
        <v>207</v>
      </c>
      <c r="I69" s="2" t="s">
        <v>208</v>
      </c>
      <c r="J69" s="2" t="s">
        <v>207</v>
      </c>
      <c r="K69" s="2" t="s">
        <v>207</v>
      </c>
      <c r="L69" s="2" t="s">
        <v>23</v>
      </c>
    </row>
    <row r="70" spans="1:12" x14ac:dyDescent="0.25">
      <c r="A70" s="2" t="s">
        <v>203</v>
      </c>
      <c r="B70" s="2" t="s">
        <v>284</v>
      </c>
      <c r="C70" s="2" t="s">
        <v>23</v>
      </c>
      <c r="D70" s="2" t="s">
        <v>203</v>
      </c>
      <c r="E70" s="2" t="s">
        <v>49</v>
      </c>
      <c r="F70" s="2" t="s">
        <v>23</v>
      </c>
      <c r="G70" s="2" t="s">
        <v>50</v>
      </c>
      <c r="H70" s="2" t="s">
        <v>207</v>
      </c>
      <c r="I70" s="2" t="s">
        <v>208</v>
      </c>
      <c r="J70" s="2" t="s">
        <v>207</v>
      </c>
      <c r="K70" s="2" t="s">
        <v>207</v>
      </c>
      <c r="L70" s="2" t="s">
        <v>23</v>
      </c>
    </row>
    <row r="71" spans="1:12" x14ac:dyDescent="0.25">
      <c r="A71" s="2" t="s">
        <v>203</v>
      </c>
      <c r="B71" s="2" t="s">
        <v>287</v>
      </c>
      <c r="C71" s="2" t="s">
        <v>23</v>
      </c>
      <c r="D71" s="2" t="s">
        <v>203</v>
      </c>
      <c r="E71" s="2" t="s">
        <v>286</v>
      </c>
      <c r="F71" s="2" t="s">
        <v>23</v>
      </c>
      <c r="G71" s="2" t="s">
        <v>301</v>
      </c>
      <c r="H71" s="2" t="s">
        <v>207</v>
      </c>
      <c r="I71" s="2" t="s">
        <v>208</v>
      </c>
      <c r="J71" s="2" t="s">
        <v>207</v>
      </c>
      <c r="K71" s="2" t="s">
        <v>207</v>
      </c>
      <c r="L71" s="2" t="s">
        <v>23</v>
      </c>
    </row>
    <row r="72" spans="1:12" x14ac:dyDescent="0.25">
      <c r="A72" s="2" t="s">
        <v>203</v>
      </c>
      <c r="B72" s="2" t="s">
        <v>276</v>
      </c>
      <c r="C72" s="2" t="s">
        <v>23</v>
      </c>
      <c r="D72" s="2" t="s">
        <v>203</v>
      </c>
      <c r="E72" s="2" t="s">
        <v>275</v>
      </c>
      <c r="F72" s="2" t="s">
        <v>23</v>
      </c>
      <c r="G72" s="2" t="s">
        <v>302</v>
      </c>
      <c r="H72" s="2" t="s">
        <v>207</v>
      </c>
      <c r="I72" s="2" t="s">
        <v>208</v>
      </c>
      <c r="J72" s="2" t="s">
        <v>207</v>
      </c>
      <c r="K72" s="2" t="s">
        <v>207</v>
      </c>
      <c r="L72" s="2" t="s">
        <v>23</v>
      </c>
    </row>
    <row r="73" spans="1:12" x14ac:dyDescent="0.25">
      <c r="A73" s="2" t="s">
        <v>203</v>
      </c>
      <c r="B73" s="2" t="s">
        <v>262</v>
      </c>
      <c r="C73" s="2" t="s">
        <v>23</v>
      </c>
      <c r="D73" s="2" t="s">
        <v>203</v>
      </c>
      <c r="E73" s="2" t="s">
        <v>261</v>
      </c>
      <c r="F73" s="2" t="s">
        <v>23</v>
      </c>
      <c r="G73" s="2" t="s">
        <v>303</v>
      </c>
      <c r="H73" s="2" t="s">
        <v>207</v>
      </c>
      <c r="I73" s="2" t="s">
        <v>208</v>
      </c>
      <c r="J73" s="2" t="s">
        <v>207</v>
      </c>
      <c r="K73" s="2" t="s">
        <v>207</v>
      </c>
      <c r="L73" s="2" t="s">
        <v>23</v>
      </c>
    </row>
    <row r="74" spans="1:12" x14ac:dyDescent="0.25">
      <c r="A74" s="2" t="s">
        <v>203</v>
      </c>
      <c r="B74" s="2" t="s">
        <v>265</v>
      </c>
      <c r="C74" s="2" t="s">
        <v>23</v>
      </c>
      <c r="D74" s="2" t="s">
        <v>203</v>
      </c>
      <c r="E74" s="2" t="s">
        <v>264</v>
      </c>
      <c r="F74" s="2" t="s">
        <v>23</v>
      </c>
      <c r="G74" s="2" t="s">
        <v>304</v>
      </c>
      <c r="H74" s="2" t="s">
        <v>207</v>
      </c>
      <c r="I74" s="2" t="s">
        <v>208</v>
      </c>
      <c r="J74" s="2" t="s">
        <v>207</v>
      </c>
      <c r="K74" s="2" t="s">
        <v>207</v>
      </c>
      <c r="L74" s="2" t="s">
        <v>23</v>
      </c>
    </row>
    <row r="75" spans="1:12" x14ac:dyDescent="0.25">
      <c r="A75" s="2" t="s">
        <v>203</v>
      </c>
      <c r="B75" s="2" t="s">
        <v>282</v>
      </c>
      <c r="C75" s="2" t="s">
        <v>23</v>
      </c>
      <c r="D75" s="2" t="s">
        <v>203</v>
      </c>
      <c r="E75" s="2" t="s">
        <v>47</v>
      </c>
      <c r="F75" s="2" t="s">
        <v>23</v>
      </c>
      <c r="G75" s="2" t="s">
        <v>48</v>
      </c>
      <c r="H75" s="2" t="s">
        <v>207</v>
      </c>
      <c r="I75" s="2" t="s">
        <v>208</v>
      </c>
      <c r="J75" s="2" t="s">
        <v>207</v>
      </c>
      <c r="K75" s="2" t="s">
        <v>207</v>
      </c>
      <c r="L75" s="2" t="s">
        <v>23</v>
      </c>
    </row>
    <row r="76" spans="1:12" x14ac:dyDescent="0.25">
      <c r="A76" s="2" t="s">
        <v>203</v>
      </c>
      <c r="B76" s="2" t="s">
        <v>205</v>
      </c>
      <c r="C76" s="2" t="s">
        <v>23</v>
      </c>
      <c r="D76" s="2" t="s">
        <v>203</v>
      </c>
      <c r="E76" s="2" t="s">
        <v>204</v>
      </c>
      <c r="F76" s="2" t="s">
        <v>23</v>
      </c>
      <c r="G76" s="2" t="s">
        <v>305</v>
      </c>
      <c r="H76" s="2" t="s">
        <v>207</v>
      </c>
      <c r="I76" s="2" t="s">
        <v>208</v>
      </c>
      <c r="J76" s="2" t="s">
        <v>207</v>
      </c>
      <c r="K76" s="2" t="s">
        <v>207</v>
      </c>
      <c r="L76" s="2" t="s">
        <v>23</v>
      </c>
    </row>
    <row r="77" spans="1:12" x14ac:dyDescent="0.25">
      <c r="A77" s="2" t="s">
        <v>203</v>
      </c>
      <c r="B77" s="2" t="s">
        <v>216</v>
      </c>
      <c r="C77" s="2" t="s">
        <v>23</v>
      </c>
      <c r="D77" s="2" t="s">
        <v>203</v>
      </c>
      <c r="E77" s="2" t="s">
        <v>213</v>
      </c>
      <c r="F77" s="2" t="s">
        <v>23</v>
      </c>
      <c r="G77" s="2" t="s">
        <v>306</v>
      </c>
      <c r="H77" s="2" t="s">
        <v>207</v>
      </c>
      <c r="I77" s="2" t="s">
        <v>208</v>
      </c>
      <c r="J77" s="2" t="s">
        <v>207</v>
      </c>
      <c r="K77" s="2" t="s">
        <v>207</v>
      </c>
      <c r="L77" s="2" t="s">
        <v>23</v>
      </c>
    </row>
    <row r="78" spans="1:12" x14ac:dyDescent="0.25">
      <c r="A78" s="2" t="s">
        <v>203</v>
      </c>
      <c r="B78" s="2" t="s">
        <v>216</v>
      </c>
      <c r="C78" s="2" t="s">
        <v>23</v>
      </c>
      <c r="D78" s="2" t="s">
        <v>203</v>
      </c>
      <c r="E78" s="2" t="s">
        <v>214</v>
      </c>
      <c r="F78" s="2" t="s">
        <v>23</v>
      </c>
      <c r="G78" s="2" t="s">
        <v>215</v>
      </c>
      <c r="H78" s="2" t="s">
        <v>207</v>
      </c>
      <c r="I78" s="2" t="s">
        <v>208</v>
      </c>
      <c r="J78" s="2" t="s">
        <v>207</v>
      </c>
      <c r="K78" s="2" t="s">
        <v>207</v>
      </c>
      <c r="L78" s="2" t="s">
        <v>23</v>
      </c>
    </row>
    <row r="79" spans="1:12" x14ac:dyDescent="0.25">
      <c r="A79" s="2" t="s">
        <v>203</v>
      </c>
      <c r="B79" s="2" t="s">
        <v>231</v>
      </c>
      <c r="C79" s="2" t="s">
        <v>23</v>
      </c>
      <c r="D79" s="2" t="s">
        <v>203</v>
      </c>
      <c r="E79" s="2" t="s">
        <v>230</v>
      </c>
      <c r="F79" s="2" t="s">
        <v>23</v>
      </c>
      <c r="G79" s="2" t="s">
        <v>307</v>
      </c>
      <c r="H79" s="2" t="s">
        <v>207</v>
      </c>
      <c r="I79" s="2" t="s">
        <v>208</v>
      </c>
      <c r="J79" s="2" t="s">
        <v>207</v>
      </c>
      <c r="K79" s="2" t="s">
        <v>207</v>
      </c>
      <c r="L79" s="2" t="s">
        <v>23</v>
      </c>
    </row>
    <row r="80" spans="1:12" x14ac:dyDescent="0.25">
      <c r="A80" s="2" t="s">
        <v>203</v>
      </c>
      <c r="B80" s="2" t="s">
        <v>91</v>
      </c>
      <c r="C80" s="2" t="s">
        <v>23</v>
      </c>
      <c r="D80" s="2" t="s">
        <v>203</v>
      </c>
      <c r="E80" s="2" t="s">
        <v>289</v>
      </c>
      <c r="F80" s="2" t="s">
        <v>23</v>
      </c>
      <c r="G80" s="2" t="s">
        <v>308</v>
      </c>
      <c r="H80" s="2" t="s">
        <v>207</v>
      </c>
      <c r="I80" s="2" t="s">
        <v>208</v>
      </c>
      <c r="J80" s="2" t="s">
        <v>207</v>
      </c>
      <c r="K80" s="2" t="s">
        <v>207</v>
      </c>
      <c r="L80" s="2" t="s">
        <v>23</v>
      </c>
    </row>
    <row r="81" spans="1:12" x14ac:dyDescent="0.25">
      <c r="A81" s="2" t="s">
        <v>203</v>
      </c>
      <c r="B81" s="2" t="s">
        <v>228</v>
      </c>
      <c r="C81" s="2" t="s">
        <v>23</v>
      </c>
      <c r="D81" s="2" t="s">
        <v>203</v>
      </c>
      <c r="E81" s="2" t="s">
        <v>224</v>
      </c>
      <c r="F81" s="2" t="s">
        <v>23</v>
      </c>
      <c r="G81" s="2" t="s">
        <v>251</v>
      </c>
      <c r="H81" s="2" t="s">
        <v>207</v>
      </c>
      <c r="I81" s="2" t="s">
        <v>208</v>
      </c>
      <c r="J81" s="2" t="s">
        <v>207</v>
      </c>
      <c r="K81" s="2" t="s">
        <v>207</v>
      </c>
      <c r="L81" s="2" t="s">
        <v>23</v>
      </c>
    </row>
    <row r="82" spans="1:12" x14ac:dyDescent="0.25">
      <c r="A82" s="2" t="s">
        <v>203</v>
      </c>
      <c r="B82" s="2" t="s">
        <v>268</v>
      </c>
      <c r="C82" s="2" t="s">
        <v>23</v>
      </c>
      <c r="D82" s="2" t="s">
        <v>203</v>
      </c>
      <c r="E82" s="2" t="s">
        <v>267</v>
      </c>
      <c r="F82" s="2" t="s">
        <v>23</v>
      </c>
      <c r="G82" s="2" t="s">
        <v>296</v>
      </c>
      <c r="H82" s="2" t="s">
        <v>207</v>
      </c>
      <c r="I82" s="2" t="s">
        <v>208</v>
      </c>
      <c r="J82" s="2" t="s">
        <v>207</v>
      </c>
      <c r="K82" s="2" t="s">
        <v>207</v>
      </c>
      <c r="L82" s="2" t="s">
        <v>23</v>
      </c>
    </row>
    <row r="83" spans="1:12" x14ac:dyDescent="0.25">
      <c r="A83" s="2" t="s">
        <v>203</v>
      </c>
      <c r="B83" s="2" t="s">
        <v>268</v>
      </c>
      <c r="C83" s="2" t="s">
        <v>23</v>
      </c>
      <c r="D83" s="2" t="s">
        <v>203</v>
      </c>
      <c r="E83" s="2" t="s">
        <v>85</v>
      </c>
      <c r="F83" s="2" t="s">
        <v>23</v>
      </c>
      <c r="G83" s="2" t="s">
        <v>86</v>
      </c>
      <c r="H83" s="2" t="s">
        <v>207</v>
      </c>
      <c r="I83" s="2" t="s">
        <v>208</v>
      </c>
      <c r="J83" s="2" t="s">
        <v>207</v>
      </c>
      <c r="K83" s="2" t="s">
        <v>207</v>
      </c>
      <c r="L83" s="2" t="s">
        <v>23</v>
      </c>
    </row>
    <row r="84" spans="1:12" x14ac:dyDescent="0.25">
      <c r="A84" s="2" t="s">
        <v>203</v>
      </c>
      <c r="B84" s="2" t="s">
        <v>292</v>
      </c>
      <c r="C84" s="2" t="s">
        <v>23</v>
      </c>
      <c r="D84" s="2" t="s">
        <v>203</v>
      </c>
      <c r="E84" s="2" t="s">
        <v>69</v>
      </c>
      <c r="F84" s="2" t="s">
        <v>23</v>
      </c>
      <c r="G84" s="2" t="s">
        <v>70</v>
      </c>
      <c r="H84" s="2" t="s">
        <v>207</v>
      </c>
      <c r="I84" s="2" t="s">
        <v>208</v>
      </c>
      <c r="J84" s="2" t="s">
        <v>207</v>
      </c>
      <c r="K84" s="2" t="s">
        <v>207</v>
      </c>
      <c r="L84" s="2" t="s">
        <v>23</v>
      </c>
    </row>
    <row r="85" spans="1:12" x14ac:dyDescent="0.25">
      <c r="A85" s="2" t="s">
        <v>203</v>
      </c>
      <c r="B85" s="2" t="s">
        <v>209</v>
      </c>
      <c r="C85" s="2" t="s">
        <v>23</v>
      </c>
      <c r="D85" s="2" t="s">
        <v>203</v>
      </c>
      <c r="E85" s="2" t="s">
        <v>204</v>
      </c>
      <c r="F85" s="2" t="s">
        <v>23</v>
      </c>
      <c r="G85" s="2" t="s">
        <v>305</v>
      </c>
      <c r="H85" s="2" t="s">
        <v>207</v>
      </c>
      <c r="I85" s="2" t="s">
        <v>208</v>
      </c>
      <c r="J85" s="2" t="s">
        <v>207</v>
      </c>
      <c r="K85" s="2" t="s">
        <v>207</v>
      </c>
      <c r="L85" s="2" t="s">
        <v>23</v>
      </c>
    </row>
    <row r="86" spans="1:12" x14ac:dyDescent="0.25">
      <c r="A86" s="2" t="s">
        <v>203</v>
      </c>
      <c r="B86" s="2" t="s">
        <v>222</v>
      </c>
      <c r="C86" s="2" t="s">
        <v>23</v>
      </c>
      <c r="D86" s="2" t="s">
        <v>203</v>
      </c>
      <c r="E86" s="2" t="s">
        <v>218</v>
      </c>
      <c r="F86" s="2" t="s">
        <v>23</v>
      </c>
      <c r="G86" s="2" t="s">
        <v>309</v>
      </c>
      <c r="H86" s="2" t="s">
        <v>207</v>
      </c>
      <c r="I86" s="2" t="s">
        <v>208</v>
      </c>
      <c r="J86" s="2" t="s">
        <v>207</v>
      </c>
      <c r="K86" s="2" t="s">
        <v>207</v>
      </c>
      <c r="L86" s="2" t="s">
        <v>23</v>
      </c>
    </row>
    <row r="87" spans="1:12" x14ac:dyDescent="0.25">
      <c r="A87" s="2" t="s">
        <v>203</v>
      </c>
      <c r="B87" s="2" t="s">
        <v>222</v>
      </c>
      <c r="C87" s="2" t="s">
        <v>23</v>
      </c>
      <c r="D87" s="2" t="s">
        <v>203</v>
      </c>
      <c r="E87" s="2" t="s">
        <v>219</v>
      </c>
      <c r="F87" s="2" t="s">
        <v>23</v>
      </c>
      <c r="G87" s="2" t="s">
        <v>220</v>
      </c>
      <c r="H87" s="2" t="s">
        <v>207</v>
      </c>
      <c r="I87" s="2" t="s">
        <v>208</v>
      </c>
      <c r="J87" s="2" t="s">
        <v>207</v>
      </c>
      <c r="K87" s="2" t="s">
        <v>207</v>
      </c>
      <c r="L87" s="2" t="s">
        <v>23</v>
      </c>
    </row>
    <row r="88" spans="1:12" x14ac:dyDescent="0.25">
      <c r="A88" s="2" t="s">
        <v>203</v>
      </c>
      <c r="B88" s="2" t="s">
        <v>310</v>
      </c>
      <c r="C88" s="2" t="s">
        <v>23</v>
      </c>
      <c r="D88" s="2" t="s">
        <v>203</v>
      </c>
      <c r="E88" s="2" t="s">
        <v>311</v>
      </c>
      <c r="F88" s="2" t="s">
        <v>23</v>
      </c>
      <c r="G88" s="2" t="s">
        <v>312</v>
      </c>
      <c r="H88" s="2" t="s">
        <v>207</v>
      </c>
      <c r="I88" s="2" t="s">
        <v>208</v>
      </c>
      <c r="J88" s="2" t="s">
        <v>207</v>
      </c>
      <c r="K88" s="2" t="s">
        <v>207</v>
      </c>
      <c r="L88" s="2" t="s">
        <v>23</v>
      </c>
    </row>
    <row r="89" spans="1:12" x14ac:dyDescent="0.25">
      <c r="A89" s="2" t="s">
        <v>203</v>
      </c>
      <c r="B89" s="2" t="s">
        <v>311</v>
      </c>
      <c r="C89" s="2" t="s">
        <v>23</v>
      </c>
      <c r="D89" s="2" t="s">
        <v>203</v>
      </c>
      <c r="E89" s="2" t="s">
        <v>310</v>
      </c>
      <c r="F89" s="2" t="s">
        <v>23</v>
      </c>
      <c r="G89" s="2" t="s">
        <v>313</v>
      </c>
      <c r="H89" s="2" t="s">
        <v>207</v>
      </c>
      <c r="I89" s="2" t="s">
        <v>208</v>
      </c>
      <c r="J89" s="2" t="s">
        <v>207</v>
      </c>
      <c r="K89" s="2" t="s">
        <v>207</v>
      </c>
      <c r="L89" s="2" t="s">
        <v>23</v>
      </c>
    </row>
    <row r="90" spans="1:12" x14ac:dyDescent="0.25">
      <c r="A90" s="2" t="s">
        <v>203</v>
      </c>
      <c r="B90" s="2" t="s">
        <v>237</v>
      </c>
      <c r="C90" s="2" t="s">
        <v>23</v>
      </c>
      <c r="D90" s="2" t="s">
        <v>203</v>
      </c>
      <c r="E90" s="2" t="s">
        <v>236</v>
      </c>
      <c r="F90" s="2" t="s">
        <v>23</v>
      </c>
      <c r="G90" s="2" t="s">
        <v>314</v>
      </c>
      <c r="H90" s="2" t="s">
        <v>207</v>
      </c>
      <c r="I90" s="2" t="s">
        <v>208</v>
      </c>
      <c r="J90" s="2" t="s">
        <v>207</v>
      </c>
      <c r="K90" s="2" t="s">
        <v>207</v>
      </c>
      <c r="L90" s="2" t="s">
        <v>23</v>
      </c>
    </row>
    <row r="91" spans="1:12" x14ac:dyDescent="0.25">
      <c r="A91" s="2" t="s">
        <v>203</v>
      </c>
      <c r="B91" s="2" t="s">
        <v>239</v>
      </c>
      <c r="C91" s="2" t="s">
        <v>23</v>
      </c>
      <c r="D91" s="2" t="s">
        <v>203</v>
      </c>
      <c r="E91" s="2" t="s">
        <v>236</v>
      </c>
      <c r="F91" s="2" t="s">
        <v>23</v>
      </c>
      <c r="G91" s="2" t="s">
        <v>314</v>
      </c>
      <c r="H91" s="2" t="s">
        <v>207</v>
      </c>
      <c r="I91" s="2" t="s">
        <v>208</v>
      </c>
      <c r="J91" s="2" t="s">
        <v>207</v>
      </c>
      <c r="K91" s="2" t="s">
        <v>207</v>
      </c>
      <c r="L91" s="2" t="s">
        <v>23</v>
      </c>
    </row>
    <row r="92" spans="1:12" x14ac:dyDescent="0.25">
      <c r="A92" s="2" t="s">
        <v>203</v>
      </c>
      <c r="B92" s="2" t="s">
        <v>298</v>
      </c>
      <c r="C92" s="2" t="s">
        <v>23</v>
      </c>
      <c r="D92" s="2" t="s">
        <v>203</v>
      </c>
      <c r="E92" s="2" t="s">
        <v>273</v>
      </c>
      <c r="F92" s="2" t="s">
        <v>23</v>
      </c>
      <c r="G92" s="2" t="s">
        <v>274</v>
      </c>
      <c r="H92" s="2" t="s">
        <v>207</v>
      </c>
      <c r="I92" s="2" t="s">
        <v>208</v>
      </c>
      <c r="J92" s="2" t="s">
        <v>207</v>
      </c>
      <c r="K92" s="2" t="s">
        <v>207</v>
      </c>
      <c r="L92" s="2" t="s">
        <v>23</v>
      </c>
    </row>
    <row r="93" spans="1:12" x14ac:dyDescent="0.25">
      <c r="A93" s="2" t="s">
        <v>203</v>
      </c>
      <c r="B93" s="2" t="s">
        <v>115</v>
      </c>
      <c r="C93" s="2" t="s">
        <v>23</v>
      </c>
      <c r="D93" s="2" t="s">
        <v>203</v>
      </c>
      <c r="E93" s="2" t="s">
        <v>79</v>
      </c>
      <c r="F93" s="2" t="s">
        <v>23</v>
      </c>
      <c r="G93" s="2" t="s">
        <v>80</v>
      </c>
      <c r="H93" s="2" t="s">
        <v>207</v>
      </c>
      <c r="I93" s="2" t="s">
        <v>208</v>
      </c>
      <c r="J93" s="2" t="s">
        <v>207</v>
      </c>
      <c r="K93" s="2" t="s">
        <v>207</v>
      </c>
      <c r="L93" s="2" t="s">
        <v>23</v>
      </c>
    </row>
    <row r="94" spans="1:12" x14ac:dyDescent="0.25">
      <c r="A94" s="2" t="s">
        <v>203</v>
      </c>
      <c r="B94" s="2" t="s">
        <v>123</v>
      </c>
      <c r="C94" s="2" t="s">
        <v>23</v>
      </c>
      <c r="D94" s="2" t="s">
        <v>203</v>
      </c>
      <c r="E94" s="2" t="s">
        <v>33</v>
      </c>
      <c r="F94" s="2" t="s">
        <v>23</v>
      </c>
      <c r="G94" s="2" t="s">
        <v>34</v>
      </c>
      <c r="H94" s="2" t="s">
        <v>207</v>
      </c>
      <c r="I94" s="2" t="s">
        <v>208</v>
      </c>
      <c r="J94" s="2" t="s">
        <v>207</v>
      </c>
      <c r="K94" s="2" t="s">
        <v>207</v>
      </c>
      <c r="L94" s="2" t="s">
        <v>23</v>
      </c>
    </row>
    <row r="95" spans="1:12" x14ac:dyDescent="0.25">
      <c r="A95" s="2" t="s">
        <v>203</v>
      </c>
      <c r="B95" s="2" t="s">
        <v>315</v>
      </c>
      <c r="C95" s="2" t="s">
        <v>23</v>
      </c>
      <c r="D95" s="2" t="s">
        <v>203</v>
      </c>
      <c r="E95" s="2" t="s">
        <v>316</v>
      </c>
      <c r="F95" s="2" t="s">
        <v>23</v>
      </c>
      <c r="G95" s="2" t="s">
        <v>317</v>
      </c>
      <c r="H95" s="2" t="s">
        <v>207</v>
      </c>
      <c r="I95" s="2" t="s">
        <v>208</v>
      </c>
      <c r="J95" s="2" t="s">
        <v>207</v>
      </c>
      <c r="K95" s="2" t="s">
        <v>207</v>
      </c>
      <c r="L95" s="2" t="s">
        <v>23</v>
      </c>
    </row>
    <row r="96" spans="1:12" x14ac:dyDescent="0.25">
      <c r="A96" s="2" t="s">
        <v>203</v>
      </c>
      <c r="B96" s="2" t="s">
        <v>318</v>
      </c>
      <c r="C96" s="2" t="s">
        <v>23</v>
      </c>
      <c r="D96" s="2" t="s">
        <v>203</v>
      </c>
      <c r="E96" s="2" t="s">
        <v>319</v>
      </c>
      <c r="F96" s="2" t="s">
        <v>23</v>
      </c>
      <c r="G96" s="2" t="s">
        <v>320</v>
      </c>
      <c r="H96" s="2" t="s">
        <v>207</v>
      </c>
      <c r="I96" s="2" t="s">
        <v>208</v>
      </c>
      <c r="J96" s="2" t="s">
        <v>207</v>
      </c>
      <c r="K96" s="2" t="s">
        <v>207</v>
      </c>
      <c r="L96" s="2" t="s">
        <v>23</v>
      </c>
    </row>
    <row r="97" spans="1:12" x14ac:dyDescent="0.25">
      <c r="A97" s="2" t="s">
        <v>203</v>
      </c>
      <c r="B97" s="2" t="s">
        <v>144</v>
      </c>
      <c r="C97" s="2" t="s">
        <v>23</v>
      </c>
      <c r="D97" s="2" t="s">
        <v>203</v>
      </c>
      <c r="E97" s="2" t="s">
        <v>60</v>
      </c>
      <c r="F97" s="2" t="s">
        <v>23</v>
      </c>
      <c r="G97" s="2" t="s">
        <v>61</v>
      </c>
      <c r="H97" s="2" t="s">
        <v>207</v>
      </c>
      <c r="I97" s="2" t="s">
        <v>208</v>
      </c>
      <c r="J97" s="2" t="s">
        <v>207</v>
      </c>
      <c r="K97" s="2" t="s">
        <v>207</v>
      </c>
      <c r="L97" s="2" t="s">
        <v>23</v>
      </c>
    </row>
    <row r="98" spans="1:12" x14ac:dyDescent="0.25">
      <c r="A98" s="2" t="s">
        <v>203</v>
      </c>
      <c r="B98" s="2" t="s">
        <v>148</v>
      </c>
      <c r="C98" s="2" t="s">
        <v>23</v>
      </c>
      <c r="D98" s="2" t="s">
        <v>203</v>
      </c>
      <c r="E98" s="2" t="s">
        <v>81</v>
      </c>
      <c r="F98" s="2" t="s">
        <v>23</v>
      </c>
      <c r="G98" s="2" t="s">
        <v>82</v>
      </c>
      <c r="H98" s="2" t="s">
        <v>207</v>
      </c>
      <c r="I98" s="2" t="s">
        <v>208</v>
      </c>
      <c r="J98" s="2" t="s">
        <v>207</v>
      </c>
      <c r="K98" s="2" t="s">
        <v>207</v>
      </c>
      <c r="L98" s="2" t="s">
        <v>23</v>
      </c>
    </row>
    <row r="99" spans="1:12" x14ac:dyDescent="0.25">
      <c r="A99" s="2" t="s">
        <v>203</v>
      </c>
      <c r="B99" s="2" t="s">
        <v>259</v>
      </c>
      <c r="C99" s="2" t="s">
        <v>23</v>
      </c>
      <c r="D99" s="2" t="s">
        <v>203</v>
      </c>
      <c r="E99" s="2" t="s">
        <v>37</v>
      </c>
      <c r="F99" s="2" t="s">
        <v>23</v>
      </c>
      <c r="G99" s="2" t="s">
        <v>38</v>
      </c>
      <c r="H99" s="2" t="s">
        <v>207</v>
      </c>
      <c r="I99" s="2" t="s">
        <v>208</v>
      </c>
      <c r="J99" s="2" t="s">
        <v>207</v>
      </c>
      <c r="K99" s="2" t="s">
        <v>207</v>
      </c>
      <c r="L99" s="2" t="s">
        <v>23</v>
      </c>
    </row>
    <row r="100" spans="1:12" x14ac:dyDescent="0.25">
      <c r="A100" s="2" t="s">
        <v>203</v>
      </c>
      <c r="B100" s="2" t="s">
        <v>279</v>
      </c>
      <c r="C100" s="2" t="s">
        <v>23</v>
      </c>
      <c r="D100" s="2" t="s">
        <v>203</v>
      </c>
      <c r="E100" s="2" t="s">
        <v>278</v>
      </c>
      <c r="F100" s="2" t="s">
        <v>23</v>
      </c>
      <c r="G100" s="2" t="s">
        <v>321</v>
      </c>
      <c r="H100" s="2" t="s">
        <v>207</v>
      </c>
      <c r="I100" s="2" t="s">
        <v>208</v>
      </c>
      <c r="J100" s="2" t="s">
        <v>207</v>
      </c>
      <c r="K100" s="2" t="s">
        <v>207</v>
      </c>
      <c r="L100" s="2" t="s">
        <v>23</v>
      </c>
    </row>
    <row r="101" spans="1:12" x14ac:dyDescent="0.25">
      <c r="A101" s="2" t="s">
        <v>203</v>
      </c>
      <c r="B101" s="2" t="s">
        <v>150</v>
      </c>
      <c r="C101" s="2" t="s">
        <v>23</v>
      </c>
      <c r="D101" s="2" t="s">
        <v>203</v>
      </c>
      <c r="E101" s="2" t="s">
        <v>281</v>
      </c>
      <c r="F101" s="2" t="s">
        <v>23</v>
      </c>
      <c r="G101" s="2" t="s">
        <v>295</v>
      </c>
      <c r="H101" s="2" t="s">
        <v>207</v>
      </c>
      <c r="I101" s="2" t="s">
        <v>208</v>
      </c>
      <c r="J101" s="2" t="s">
        <v>207</v>
      </c>
      <c r="K101" s="2" t="s">
        <v>207</v>
      </c>
      <c r="L101" s="2" t="s">
        <v>23</v>
      </c>
    </row>
    <row r="102" spans="1:12" x14ac:dyDescent="0.25">
      <c r="A102" s="2" t="s">
        <v>203</v>
      </c>
      <c r="B102" s="2" t="s">
        <v>158</v>
      </c>
      <c r="C102" s="2" t="s">
        <v>23</v>
      </c>
      <c r="D102" s="2" t="s">
        <v>203</v>
      </c>
      <c r="E102" s="2" t="s">
        <v>294</v>
      </c>
      <c r="F102" s="2" t="s">
        <v>23</v>
      </c>
      <c r="G102" s="2" t="s">
        <v>322</v>
      </c>
      <c r="H102" s="2" t="s">
        <v>207</v>
      </c>
      <c r="I102" s="2" t="s">
        <v>208</v>
      </c>
      <c r="J102" s="2" t="s">
        <v>207</v>
      </c>
      <c r="K102" s="2" t="s">
        <v>207</v>
      </c>
      <c r="L102" s="2" t="s">
        <v>23</v>
      </c>
    </row>
    <row r="103" spans="1:12" x14ac:dyDescent="0.25">
      <c r="A103" s="2" t="s">
        <v>203</v>
      </c>
      <c r="B103" s="2" t="s">
        <v>316</v>
      </c>
      <c r="C103" s="2" t="s">
        <v>23</v>
      </c>
      <c r="D103" s="2" t="s">
        <v>203</v>
      </c>
      <c r="E103" s="2" t="s">
        <v>315</v>
      </c>
      <c r="F103" s="2" t="s">
        <v>23</v>
      </c>
      <c r="G103" s="2" t="s">
        <v>323</v>
      </c>
      <c r="H103" s="2" t="s">
        <v>207</v>
      </c>
      <c r="I103" s="2" t="s">
        <v>208</v>
      </c>
      <c r="J103" s="2" t="s">
        <v>207</v>
      </c>
      <c r="K103" s="2" t="s">
        <v>207</v>
      </c>
      <c r="L103" s="2" t="s">
        <v>23</v>
      </c>
    </row>
    <row r="104" spans="1:12" x14ac:dyDescent="0.25">
      <c r="A104" s="2" t="s">
        <v>203</v>
      </c>
      <c r="B104" s="2" t="s">
        <v>319</v>
      </c>
      <c r="C104" s="2" t="s">
        <v>23</v>
      </c>
      <c r="D104" s="2" t="s">
        <v>203</v>
      </c>
      <c r="E104" s="2" t="s">
        <v>318</v>
      </c>
      <c r="F104" s="2" t="s">
        <v>23</v>
      </c>
      <c r="G104" s="2" t="s">
        <v>324</v>
      </c>
      <c r="H104" s="2" t="s">
        <v>207</v>
      </c>
      <c r="I104" s="2" t="s">
        <v>208</v>
      </c>
      <c r="J104" s="2" t="s">
        <v>207</v>
      </c>
      <c r="K104" s="2" t="s">
        <v>207</v>
      </c>
      <c r="L104" s="2" t="s">
        <v>23</v>
      </c>
    </row>
    <row r="105" spans="1:12" x14ac:dyDescent="0.25">
      <c r="A105" s="2" t="s">
        <v>203</v>
      </c>
      <c r="B105" s="2" t="s">
        <v>325</v>
      </c>
      <c r="C105" s="2" t="s">
        <v>23</v>
      </c>
      <c r="D105" s="2" t="s">
        <v>203</v>
      </c>
      <c r="E105" s="2" t="s">
        <v>326</v>
      </c>
      <c r="F105" s="2" t="s">
        <v>23</v>
      </c>
      <c r="G105" s="2" t="s">
        <v>327</v>
      </c>
      <c r="H105" s="2" t="s">
        <v>207</v>
      </c>
      <c r="I105" s="2" t="s">
        <v>208</v>
      </c>
      <c r="J105" s="2" t="s">
        <v>207</v>
      </c>
      <c r="K105" s="2" t="s">
        <v>207</v>
      </c>
      <c r="L105" s="2" t="s">
        <v>23</v>
      </c>
    </row>
    <row r="106" spans="1:12" x14ac:dyDescent="0.25">
      <c r="A106" s="2" t="s">
        <v>203</v>
      </c>
      <c r="B106" s="2" t="s">
        <v>328</v>
      </c>
      <c r="C106" s="2" t="s">
        <v>23</v>
      </c>
      <c r="D106" s="2" t="s">
        <v>203</v>
      </c>
      <c r="E106" s="2" t="s">
        <v>329</v>
      </c>
      <c r="F106" s="2" t="s">
        <v>23</v>
      </c>
      <c r="G106" s="2" t="s">
        <v>330</v>
      </c>
      <c r="H106" s="2" t="s">
        <v>207</v>
      </c>
      <c r="I106" s="2" t="s">
        <v>208</v>
      </c>
      <c r="J106" s="2" t="s">
        <v>207</v>
      </c>
      <c r="K106" s="2" t="s">
        <v>207</v>
      </c>
      <c r="L106" s="2" t="s">
        <v>23</v>
      </c>
    </row>
    <row r="107" spans="1:12" x14ac:dyDescent="0.25">
      <c r="A107" s="2" t="s">
        <v>203</v>
      </c>
      <c r="B107" s="2" t="s">
        <v>331</v>
      </c>
      <c r="C107" s="2" t="s">
        <v>23</v>
      </c>
      <c r="D107" s="2" t="s">
        <v>203</v>
      </c>
      <c r="E107" s="2" t="s">
        <v>332</v>
      </c>
      <c r="F107" s="2" t="s">
        <v>23</v>
      </c>
      <c r="G107" s="2" t="s">
        <v>333</v>
      </c>
      <c r="H107" s="2" t="s">
        <v>207</v>
      </c>
      <c r="I107" s="2" t="s">
        <v>208</v>
      </c>
      <c r="J107" s="2" t="s">
        <v>207</v>
      </c>
      <c r="K107" s="2" t="s">
        <v>207</v>
      </c>
      <c r="L107" s="2" t="s">
        <v>23</v>
      </c>
    </row>
    <row r="108" spans="1:12" x14ac:dyDescent="0.25">
      <c r="A108" s="2" t="s">
        <v>203</v>
      </c>
      <c r="B108" s="2" t="s">
        <v>331</v>
      </c>
      <c r="C108" s="2" t="s">
        <v>23</v>
      </c>
      <c r="D108" s="2" t="s">
        <v>203</v>
      </c>
      <c r="E108" s="2" t="s">
        <v>334</v>
      </c>
      <c r="F108" s="2" t="s">
        <v>23</v>
      </c>
      <c r="G108" s="2" t="s">
        <v>335</v>
      </c>
      <c r="H108" s="2" t="s">
        <v>207</v>
      </c>
      <c r="I108" s="2" t="s">
        <v>208</v>
      </c>
      <c r="J108" s="2" t="s">
        <v>207</v>
      </c>
      <c r="K108" s="2" t="s">
        <v>207</v>
      </c>
      <c r="L108" s="2" t="s">
        <v>23</v>
      </c>
    </row>
    <row r="109" spans="1:12" x14ac:dyDescent="0.25">
      <c r="A109" s="2" t="s">
        <v>203</v>
      </c>
      <c r="B109" s="2" t="s">
        <v>326</v>
      </c>
      <c r="C109" s="2" t="s">
        <v>23</v>
      </c>
      <c r="D109" s="2" t="s">
        <v>203</v>
      </c>
      <c r="E109" s="2" t="s">
        <v>325</v>
      </c>
      <c r="F109" s="2" t="s">
        <v>23</v>
      </c>
      <c r="G109" s="2" t="s">
        <v>336</v>
      </c>
      <c r="H109" s="2" t="s">
        <v>207</v>
      </c>
      <c r="I109" s="2" t="s">
        <v>208</v>
      </c>
      <c r="J109" s="2" t="s">
        <v>207</v>
      </c>
      <c r="K109" s="2" t="s">
        <v>207</v>
      </c>
      <c r="L109" s="2" t="s">
        <v>23</v>
      </c>
    </row>
    <row r="110" spans="1:12" x14ac:dyDescent="0.25">
      <c r="A110" s="2" t="s">
        <v>203</v>
      </c>
      <c r="B110" s="2" t="s">
        <v>332</v>
      </c>
      <c r="C110" s="2" t="s">
        <v>23</v>
      </c>
      <c r="D110" s="2" t="s">
        <v>203</v>
      </c>
      <c r="E110" s="2" t="s">
        <v>331</v>
      </c>
      <c r="F110" s="2" t="s">
        <v>23</v>
      </c>
      <c r="G110" s="2" t="s">
        <v>337</v>
      </c>
      <c r="H110" s="2" t="s">
        <v>207</v>
      </c>
      <c r="I110" s="2" t="s">
        <v>208</v>
      </c>
      <c r="J110" s="2" t="s">
        <v>207</v>
      </c>
      <c r="K110" s="2" t="s">
        <v>207</v>
      </c>
      <c r="L110" s="2" t="s">
        <v>23</v>
      </c>
    </row>
    <row r="111" spans="1:12" x14ac:dyDescent="0.25">
      <c r="A111" s="2" t="s">
        <v>203</v>
      </c>
      <c r="B111" s="2" t="s">
        <v>329</v>
      </c>
      <c r="C111" s="2" t="s">
        <v>23</v>
      </c>
      <c r="D111" s="2" t="s">
        <v>203</v>
      </c>
      <c r="E111" s="2" t="s">
        <v>328</v>
      </c>
      <c r="F111" s="2" t="s">
        <v>23</v>
      </c>
      <c r="G111" s="2" t="s">
        <v>338</v>
      </c>
      <c r="H111" s="2" t="s">
        <v>207</v>
      </c>
      <c r="I111" s="2" t="s">
        <v>208</v>
      </c>
      <c r="J111" s="2" t="s">
        <v>207</v>
      </c>
      <c r="K111" s="2" t="s">
        <v>207</v>
      </c>
      <c r="L111" s="2" t="s">
        <v>23</v>
      </c>
    </row>
    <row r="112" spans="1:12" x14ac:dyDescent="0.25">
      <c r="A112" s="2" t="s">
        <v>203</v>
      </c>
      <c r="B112" s="2" t="s">
        <v>334</v>
      </c>
      <c r="C112" s="2" t="s">
        <v>23</v>
      </c>
      <c r="D112" s="2" t="s">
        <v>203</v>
      </c>
      <c r="E112" s="2" t="s">
        <v>331</v>
      </c>
      <c r="F112" s="2" t="s">
        <v>23</v>
      </c>
      <c r="G112" s="2" t="s">
        <v>339</v>
      </c>
      <c r="H112" s="2" t="s">
        <v>207</v>
      </c>
      <c r="I112" s="2" t="s">
        <v>208</v>
      </c>
      <c r="J112" s="2" t="s">
        <v>207</v>
      </c>
      <c r="K112" s="2" t="s">
        <v>207</v>
      </c>
      <c r="L112" s="2" t="s">
        <v>23</v>
      </c>
    </row>
    <row r="113" spans="1:12" x14ac:dyDescent="0.25">
      <c r="A113" s="2" t="s">
        <v>203</v>
      </c>
      <c r="B113" s="2" t="s">
        <v>340</v>
      </c>
      <c r="C113" s="2" t="s">
        <v>23</v>
      </c>
      <c r="D113" s="2" t="s">
        <v>203</v>
      </c>
      <c r="E113" s="2" t="s">
        <v>341</v>
      </c>
      <c r="F113" s="2" t="s">
        <v>23</v>
      </c>
      <c r="G113" s="2" t="s">
        <v>342</v>
      </c>
      <c r="H113" s="2" t="s">
        <v>207</v>
      </c>
      <c r="I113" s="2" t="s">
        <v>208</v>
      </c>
      <c r="J113" s="2" t="s">
        <v>207</v>
      </c>
      <c r="K113" s="2" t="s">
        <v>207</v>
      </c>
      <c r="L113" s="2" t="s">
        <v>23</v>
      </c>
    </row>
    <row r="114" spans="1:12" x14ac:dyDescent="0.25">
      <c r="A114" s="2" t="s">
        <v>203</v>
      </c>
      <c r="B114" s="2" t="s">
        <v>340</v>
      </c>
      <c r="C114" s="2" t="s">
        <v>23</v>
      </c>
      <c r="D114" s="2" t="s">
        <v>203</v>
      </c>
      <c r="E114" s="2" t="s">
        <v>343</v>
      </c>
      <c r="F114" s="2" t="s">
        <v>23</v>
      </c>
      <c r="G114" s="2" t="s">
        <v>344</v>
      </c>
      <c r="H114" s="2" t="s">
        <v>207</v>
      </c>
      <c r="I114" s="2" t="s">
        <v>208</v>
      </c>
      <c r="J114" s="2" t="s">
        <v>207</v>
      </c>
      <c r="K114" s="2" t="s">
        <v>207</v>
      </c>
      <c r="L114" s="2" t="s">
        <v>23</v>
      </c>
    </row>
    <row r="115" spans="1:12" x14ac:dyDescent="0.25">
      <c r="A115" s="2" t="s">
        <v>203</v>
      </c>
      <c r="B115" s="2" t="s">
        <v>341</v>
      </c>
      <c r="C115" s="2" t="s">
        <v>23</v>
      </c>
      <c r="D115" s="2" t="s">
        <v>203</v>
      </c>
      <c r="E115" s="2" t="s">
        <v>340</v>
      </c>
      <c r="F115" s="2" t="s">
        <v>23</v>
      </c>
      <c r="G115" s="2" t="s">
        <v>345</v>
      </c>
      <c r="H115" s="2" t="s">
        <v>207</v>
      </c>
      <c r="I115" s="2" t="s">
        <v>208</v>
      </c>
      <c r="J115" s="2" t="s">
        <v>207</v>
      </c>
      <c r="K115" s="2" t="s">
        <v>207</v>
      </c>
      <c r="L115" s="2" t="s">
        <v>23</v>
      </c>
    </row>
    <row r="116" spans="1:12" x14ac:dyDescent="0.25">
      <c r="A116" s="2" t="s">
        <v>203</v>
      </c>
      <c r="B116" s="2" t="s">
        <v>343</v>
      </c>
      <c r="C116" s="2" t="s">
        <v>23</v>
      </c>
      <c r="D116" s="2" t="s">
        <v>203</v>
      </c>
      <c r="E116" s="2" t="s">
        <v>340</v>
      </c>
      <c r="F116" s="2" t="s">
        <v>23</v>
      </c>
      <c r="G116" s="2" t="s">
        <v>345</v>
      </c>
      <c r="H116" s="2" t="s">
        <v>207</v>
      </c>
      <c r="I116" s="2" t="s">
        <v>208</v>
      </c>
      <c r="J116" s="2" t="s">
        <v>207</v>
      </c>
      <c r="K116" s="2" t="s">
        <v>207</v>
      </c>
      <c r="L116" s="2" t="s">
        <v>23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C648-C64D-4DAC-A94F-6529FA1AD613}">
  <dimension ref="A3:B158"/>
  <sheetViews>
    <sheetView workbookViewId="0">
      <selection activeCell="A4" sqref="A4"/>
    </sheetView>
  </sheetViews>
  <sheetFormatPr defaultRowHeight="15" x14ac:dyDescent="0.25"/>
  <cols>
    <col min="1" max="1" width="89.85546875" bestFit="1" customWidth="1"/>
    <col min="2" max="2" width="16.42578125" bestFit="1" customWidth="1"/>
    <col min="3" max="3" width="46.7109375" bestFit="1" customWidth="1"/>
    <col min="4" max="4" width="42.42578125" bestFit="1" customWidth="1"/>
    <col min="5" max="5" width="46.85546875" bestFit="1" customWidth="1"/>
    <col min="6" max="6" width="44.7109375" bestFit="1" customWidth="1"/>
    <col min="7" max="7" width="88.7109375" bestFit="1" customWidth="1"/>
    <col min="8" max="8" width="78.140625" bestFit="1" customWidth="1"/>
    <col min="9" max="9" width="30.140625" bestFit="1" customWidth="1"/>
    <col min="10" max="10" width="59.42578125" bestFit="1" customWidth="1"/>
    <col min="11" max="11" width="71.42578125" bestFit="1" customWidth="1"/>
    <col min="12" max="12" width="48.7109375" bestFit="1" customWidth="1"/>
    <col min="13" max="13" width="39" bestFit="1" customWidth="1"/>
    <col min="14" max="14" width="49.28515625" bestFit="1" customWidth="1"/>
    <col min="15" max="15" width="23.85546875" bestFit="1" customWidth="1"/>
    <col min="16" max="16" width="46" bestFit="1" customWidth="1"/>
    <col min="17" max="17" width="79.42578125" bestFit="1" customWidth="1"/>
    <col min="18" max="18" width="44" bestFit="1" customWidth="1"/>
    <col min="19" max="19" width="35.85546875" bestFit="1" customWidth="1"/>
    <col min="20" max="20" width="55.42578125" bestFit="1" customWidth="1"/>
    <col min="21" max="21" width="24.7109375" bestFit="1" customWidth="1"/>
    <col min="22" max="22" width="52.85546875" bestFit="1" customWidth="1"/>
    <col min="23" max="23" width="72.85546875" bestFit="1" customWidth="1"/>
    <col min="24" max="24" width="45.7109375" bestFit="1" customWidth="1"/>
    <col min="25" max="25" width="31.140625" bestFit="1" customWidth="1"/>
    <col min="26" max="26" width="43.5703125" bestFit="1" customWidth="1"/>
    <col min="27" max="27" width="24.28515625" bestFit="1" customWidth="1"/>
    <col min="28" max="28" width="40.7109375" bestFit="1" customWidth="1"/>
    <col min="29" max="29" width="81.5703125" bestFit="1" customWidth="1"/>
    <col min="30" max="30" width="63.7109375" bestFit="1" customWidth="1"/>
    <col min="31" max="31" width="31.85546875" bestFit="1" customWidth="1"/>
    <col min="32" max="32" width="67.85546875" bestFit="1" customWidth="1"/>
    <col min="33" max="33" width="39.28515625" bestFit="1" customWidth="1"/>
    <col min="34" max="34" width="41.5703125" bestFit="1" customWidth="1"/>
    <col min="35" max="35" width="46.85546875" bestFit="1" customWidth="1"/>
    <col min="36" max="36" width="82.140625" bestFit="1" customWidth="1"/>
    <col min="37" max="37" width="43.28515625" bestFit="1" customWidth="1"/>
    <col min="38" max="38" width="40.85546875" bestFit="1" customWidth="1"/>
    <col min="39" max="39" width="29" bestFit="1" customWidth="1"/>
    <col min="40" max="40" width="31" bestFit="1" customWidth="1"/>
    <col min="41" max="41" width="85.42578125" bestFit="1" customWidth="1"/>
    <col min="42" max="42" width="41.7109375" bestFit="1" customWidth="1"/>
    <col min="43" max="43" width="64.5703125" bestFit="1" customWidth="1"/>
    <col min="44" max="44" width="43.42578125" bestFit="1" customWidth="1"/>
    <col min="45" max="45" width="26.7109375" bestFit="1" customWidth="1"/>
    <col min="46" max="46" width="40.42578125" bestFit="1" customWidth="1"/>
    <col min="47" max="47" width="47.42578125" bestFit="1" customWidth="1"/>
    <col min="48" max="48" width="37.28515625" bestFit="1" customWidth="1"/>
    <col min="49" max="49" width="52.140625" bestFit="1" customWidth="1"/>
    <col min="50" max="50" width="58.28515625" bestFit="1" customWidth="1"/>
    <col min="51" max="51" width="36.7109375" bestFit="1" customWidth="1"/>
    <col min="52" max="52" width="22.85546875" bestFit="1" customWidth="1"/>
    <col min="53" max="53" width="27.85546875" bestFit="1" customWidth="1"/>
    <col min="54" max="54" width="49.28515625" bestFit="1" customWidth="1"/>
    <col min="55" max="55" width="41.42578125" bestFit="1" customWidth="1"/>
    <col min="56" max="56" width="44.140625" bestFit="1" customWidth="1"/>
    <col min="57" max="57" width="56.85546875" bestFit="1" customWidth="1"/>
    <col min="58" max="58" width="62.28515625" bestFit="1" customWidth="1"/>
    <col min="59" max="59" width="61.85546875" bestFit="1" customWidth="1"/>
    <col min="60" max="60" width="52.42578125" bestFit="1" customWidth="1"/>
    <col min="61" max="61" width="49.85546875" bestFit="1" customWidth="1"/>
    <col min="62" max="62" width="44.7109375" bestFit="1" customWidth="1"/>
    <col min="63" max="63" width="49.5703125" bestFit="1" customWidth="1"/>
    <col min="64" max="64" width="64.42578125" bestFit="1" customWidth="1"/>
    <col min="65" max="65" width="75.28515625" bestFit="1" customWidth="1"/>
    <col min="66" max="66" width="22.140625" bestFit="1" customWidth="1"/>
    <col min="67" max="67" width="61.85546875" bestFit="1" customWidth="1"/>
    <col min="68" max="68" width="51.5703125" bestFit="1" customWidth="1"/>
    <col min="69" max="69" width="56.28515625" bestFit="1" customWidth="1"/>
    <col min="70" max="70" width="62.42578125" bestFit="1" customWidth="1"/>
    <col min="71" max="71" width="14.7109375" bestFit="1" customWidth="1"/>
    <col min="72" max="72" width="27.7109375" bestFit="1" customWidth="1"/>
    <col min="73" max="73" width="49.140625" bestFit="1" customWidth="1"/>
    <col min="74" max="74" width="28.42578125" bestFit="1" customWidth="1"/>
    <col min="75" max="75" width="68.7109375" bestFit="1" customWidth="1"/>
    <col min="76" max="76" width="49.85546875" bestFit="1" customWidth="1"/>
    <col min="77" max="77" width="53.140625" bestFit="1" customWidth="1"/>
    <col min="78" max="78" width="57.140625" bestFit="1" customWidth="1"/>
    <col min="79" max="79" width="12.85546875" bestFit="1" customWidth="1"/>
  </cols>
  <sheetData>
    <row r="3" spans="1:2" x14ac:dyDescent="0.25">
      <c r="A3" s="6" t="s">
        <v>187</v>
      </c>
      <c r="B3" t="s">
        <v>189</v>
      </c>
    </row>
    <row r="4" spans="1:2" x14ac:dyDescent="0.25">
      <c r="A4" s="7" t="s">
        <v>20</v>
      </c>
      <c r="B4" s="5"/>
    </row>
    <row r="5" spans="1:2" x14ac:dyDescent="0.25">
      <c r="A5" s="8" t="s">
        <v>22</v>
      </c>
      <c r="B5" s="5">
        <v>525</v>
      </c>
    </row>
    <row r="6" spans="1:2" x14ac:dyDescent="0.25">
      <c r="A6" s="7" t="s">
        <v>27</v>
      </c>
      <c r="B6" s="5"/>
    </row>
    <row r="7" spans="1:2" x14ac:dyDescent="0.25">
      <c r="A7" s="8" t="s">
        <v>28</v>
      </c>
      <c r="B7" s="5">
        <v>400</v>
      </c>
    </row>
    <row r="8" spans="1:2" x14ac:dyDescent="0.25">
      <c r="A8" s="7" t="s">
        <v>29</v>
      </c>
      <c r="B8" s="5"/>
    </row>
    <row r="9" spans="1:2" x14ac:dyDescent="0.25">
      <c r="A9" s="8" t="s">
        <v>30</v>
      </c>
      <c r="B9" s="5">
        <v>40</v>
      </c>
    </row>
    <row r="10" spans="1:2" x14ac:dyDescent="0.25">
      <c r="A10" s="7" t="s">
        <v>31</v>
      </c>
      <c r="B10" s="5"/>
    </row>
    <row r="11" spans="1:2" x14ac:dyDescent="0.25">
      <c r="A11" s="8" t="s">
        <v>32</v>
      </c>
      <c r="B11" s="5">
        <v>360</v>
      </c>
    </row>
    <row r="12" spans="1:2" x14ac:dyDescent="0.25">
      <c r="A12" s="7" t="s">
        <v>33</v>
      </c>
      <c r="B12" s="5"/>
    </row>
    <row r="13" spans="1:2" x14ac:dyDescent="0.25">
      <c r="A13" s="8" t="s">
        <v>34</v>
      </c>
      <c r="B13" s="5">
        <v>500</v>
      </c>
    </row>
    <row r="14" spans="1:2" x14ac:dyDescent="0.25">
      <c r="A14" s="7" t="s">
        <v>35</v>
      </c>
      <c r="B14" s="5"/>
    </row>
    <row r="15" spans="1:2" x14ac:dyDescent="0.25">
      <c r="A15" s="8" t="s">
        <v>36</v>
      </c>
      <c r="B15" s="5">
        <v>75</v>
      </c>
    </row>
    <row r="16" spans="1:2" x14ac:dyDescent="0.25">
      <c r="A16" s="7" t="s">
        <v>37</v>
      </c>
      <c r="B16" s="5"/>
    </row>
    <row r="17" spans="1:2" x14ac:dyDescent="0.25">
      <c r="A17" s="8" t="s">
        <v>38</v>
      </c>
      <c r="B17" s="5">
        <v>275</v>
      </c>
    </row>
    <row r="18" spans="1:2" x14ac:dyDescent="0.25">
      <c r="A18" s="7" t="s">
        <v>39</v>
      </c>
      <c r="B18" s="5"/>
    </row>
    <row r="19" spans="1:2" x14ac:dyDescent="0.25">
      <c r="A19" s="8" t="s">
        <v>40</v>
      </c>
      <c r="B19" s="5">
        <v>30</v>
      </c>
    </row>
    <row r="20" spans="1:2" x14ac:dyDescent="0.25">
      <c r="A20" s="7" t="s">
        <v>41</v>
      </c>
      <c r="B20" s="5"/>
    </row>
    <row r="21" spans="1:2" x14ac:dyDescent="0.25">
      <c r="A21" s="8" t="s">
        <v>42</v>
      </c>
      <c r="B21" s="5">
        <v>450</v>
      </c>
    </row>
    <row r="22" spans="1:2" x14ac:dyDescent="0.25">
      <c r="A22" s="7" t="s">
        <v>43</v>
      </c>
      <c r="B22" s="5"/>
    </row>
    <row r="23" spans="1:2" x14ac:dyDescent="0.25">
      <c r="A23" s="8" t="s">
        <v>44</v>
      </c>
      <c r="B23" s="5">
        <v>100</v>
      </c>
    </row>
    <row r="24" spans="1:2" x14ac:dyDescent="0.25">
      <c r="A24" s="7" t="s">
        <v>45</v>
      </c>
      <c r="B24" s="5"/>
    </row>
    <row r="25" spans="1:2" x14ac:dyDescent="0.25">
      <c r="A25" s="8" t="s">
        <v>46</v>
      </c>
      <c r="B25" s="5">
        <v>100</v>
      </c>
    </row>
    <row r="26" spans="1:2" x14ac:dyDescent="0.25">
      <c r="A26" s="7" t="s">
        <v>47</v>
      </c>
      <c r="B26" s="5"/>
    </row>
    <row r="27" spans="1:2" x14ac:dyDescent="0.25">
      <c r="A27" s="8" t="s">
        <v>48</v>
      </c>
      <c r="B27" s="5">
        <v>50</v>
      </c>
    </row>
    <row r="28" spans="1:2" x14ac:dyDescent="0.25">
      <c r="A28" s="7" t="s">
        <v>49</v>
      </c>
      <c r="B28" s="5"/>
    </row>
    <row r="29" spans="1:2" x14ac:dyDescent="0.25">
      <c r="A29" s="8" t="s">
        <v>50</v>
      </c>
      <c r="B29" s="5">
        <v>1500</v>
      </c>
    </row>
    <row r="30" spans="1:2" x14ac:dyDescent="0.25">
      <c r="A30" s="7" t="s">
        <v>51</v>
      </c>
      <c r="B30" s="5"/>
    </row>
    <row r="31" spans="1:2" x14ac:dyDescent="0.25">
      <c r="A31" s="8" t="s">
        <v>52</v>
      </c>
      <c r="B31" s="5">
        <v>25</v>
      </c>
    </row>
    <row r="32" spans="1:2" x14ac:dyDescent="0.25">
      <c r="A32" s="7" t="s">
        <v>53</v>
      </c>
      <c r="B32" s="5"/>
    </row>
    <row r="33" spans="1:2" x14ac:dyDescent="0.25">
      <c r="A33" s="8" t="s">
        <v>54</v>
      </c>
      <c r="B33" s="5">
        <v>50</v>
      </c>
    </row>
    <row r="34" spans="1:2" x14ac:dyDescent="0.25">
      <c r="A34" s="7" t="s">
        <v>56</v>
      </c>
      <c r="B34" s="5"/>
    </row>
    <row r="35" spans="1:2" x14ac:dyDescent="0.25">
      <c r="A35" s="8" t="s">
        <v>57</v>
      </c>
      <c r="B35" s="5">
        <v>75</v>
      </c>
    </row>
    <row r="36" spans="1:2" x14ac:dyDescent="0.25">
      <c r="A36" s="7" t="s">
        <v>58</v>
      </c>
      <c r="B36" s="5"/>
    </row>
    <row r="37" spans="1:2" x14ac:dyDescent="0.25">
      <c r="A37" s="8" t="s">
        <v>59</v>
      </c>
      <c r="B37" s="5">
        <v>25</v>
      </c>
    </row>
    <row r="38" spans="1:2" x14ac:dyDescent="0.25">
      <c r="A38" s="7" t="s">
        <v>60</v>
      </c>
      <c r="B38" s="5"/>
    </row>
    <row r="39" spans="1:2" x14ac:dyDescent="0.25">
      <c r="A39" s="8" t="s">
        <v>61</v>
      </c>
      <c r="B39" s="5">
        <v>10</v>
      </c>
    </row>
    <row r="40" spans="1:2" x14ac:dyDescent="0.25">
      <c r="A40" s="7" t="s">
        <v>63</v>
      </c>
      <c r="B40" s="5"/>
    </row>
    <row r="41" spans="1:2" x14ac:dyDescent="0.25">
      <c r="A41" s="8" t="s">
        <v>64</v>
      </c>
      <c r="B41" s="5">
        <v>900</v>
      </c>
    </row>
    <row r="42" spans="1:2" x14ac:dyDescent="0.25">
      <c r="A42" s="7" t="s">
        <v>65</v>
      </c>
      <c r="B42" s="5"/>
    </row>
    <row r="43" spans="1:2" x14ac:dyDescent="0.25">
      <c r="A43" s="8" t="s">
        <v>66</v>
      </c>
      <c r="B43" s="5">
        <v>600</v>
      </c>
    </row>
    <row r="44" spans="1:2" x14ac:dyDescent="0.25">
      <c r="A44" s="7" t="s">
        <v>67</v>
      </c>
      <c r="B44" s="5"/>
    </row>
    <row r="45" spans="1:2" x14ac:dyDescent="0.25">
      <c r="A45" s="8" t="s">
        <v>68</v>
      </c>
      <c r="B45" s="5">
        <v>375</v>
      </c>
    </row>
    <row r="46" spans="1:2" x14ac:dyDescent="0.25">
      <c r="A46" s="7" t="s">
        <v>69</v>
      </c>
      <c r="B46" s="5"/>
    </row>
    <row r="47" spans="1:2" x14ac:dyDescent="0.25">
      <c r="A47" s="8" t="s">
        <v>70</v>
      </c>
      <c r="B47" s="5">
        <v>275</v>
      </c>
    </row>
    <row r="48" spans="1:2" x14ac:dyDescent="0.25">
      <c r="A48" s="7" t="s">
        <v>71</v>
      </c>
      <c r="B48" s="5"/>
    </row>
    <row r="49" spans="1:2" x14ac:dyDescent="0.25">
      <c r="A49" s="8" t="s">
        <v>72</v>
      </c>
      <c r="B49" s="5">
        <v>675</v>
      </c>
    </row>
    <row r="50" spans="1:2" x14ac:dyDescent="0.25">
      <c r="A50" s="7" t="s">
        <v>73</v>
      </c>
      <c r="B50" s="5"/>
    </row>
    <row r="51" spans="1:2" x14ac:dyDescent="0.25">
      <c r="A51" s="8" t="s">
        <v>74</v>
      </c>
      <c r="B51" s="5">
        <v>175</v>
      </c>
    </row>
    <row r="52" spans="1:2" x14ac:dyDescent="0.25">
      <c r="A52" s="7" t="s">
        <v>75</v>
      </c>
      <c r="B52" s="5"/>
    </row>
    <row r="53" spans="1:2" x14ac:dyDescent="0.25">
      <c r="A53" s="8" t="s">
        <v>76</v>
      </c>
      <c r="B53" s="5">
        <v>25</v>
      </c>
    </row>
    <row r="54" spans="1:2" x14ac:dyDescent="0.25">
      <c r="A54" s="7" t="s">
        <v>77</v>
      </c>
      <c r="B54" s="5"/>
    </row>
    <row r="55" spans="1:2" x14ac:dyDescent="0.25">
      <c r="A55" s="8" t="s">
        <v>78</v>
      </c>
      <c r="B55" s="5">
        <v>25</v>
      </c>
    </row>
    <row r="56" spans="1:2" x14ac:dyDescent="0.25">
      <c r="A56" s="7" t="s">
        <v>79</v>
      </c>
      <c r="B56" s="5"/>
    </row>
    <row r="57" spans="1:2" x14ac:dyDescent="0.25">
      <c r="A57" s="8" t="s">
        <v>80</v>
      </c>
      <c r="B57" s="5">
        <v>25</v>
      </c>
    </row>
    <row r="58" spans="1:2" x14ac:dyDescent="0.25">
      <c r="A58" s="7" t="s">
        <v>81</v>
      </c>
      <c r="B58" s="5"/>
    </row>
    <row r="59" spans="1:2" x14ac:dyDescent="0.25">
      <c r="A59" s="8" t="s">
        <v>82</v>
      </c>
      <c r="B59" s="5">
        <v>25</v>
      </c>
    </row>
    <row r="60" spans="1:2" x14ac:dyDescent="0.25">
      <c r="A60" s="7" t="s">
        <v>83</v>
      </c>
      <c r="B60" s="5"/>
    </row>
    <row r="61" spans="1:2" x14ac:dyDescent="0.25">
      <c r="A61" s="8" t="s">
        <v>84</v>
      </c>
      <c r="B61" s="5">
        <v>25</v>
      </c>
    </row>
    <row r="62" spans="1:2" x14ac:dyDescent="0.25">
      <c r="A62" s="7" t="s">
        <v>85</v>
      </c>
      <c r="B62" s="5"/>
    </row>
    <row r="63" spans="1:2" x14ac:dyDescent="0.25">
      <c r="A63" s="8" t="s">
        <v>86</v>
      </c>
      <c r="B63" s="5">
        <v>150</v>
      </c>
    </row>
    <row r="64" spans="1:2" x14ac:dyDescent="0.25">
      <c r="A64" s="7" t="s">
        <v>87</v>
      </c>
      <c r="B64" s="5"/>
    </row>
    <row r="65" spans="1:2" x14ac:dyDescent="0.25">
      <c r="A65" s="8" t="s">
        <v>88</v>
      </c>
      <c r="B65" s="5">
        <v>50</v>
      </c>
    </row>
    <row r="66" spans="1:2" x14ac:dyDescent="0.25">
      <c r="A66" s="7" t="s">
        <v>89</v>
      </c>
      <c r="B66" s="5"/>
    </row>
    <row r="67" spans="1:2" x14ac:dyDescent="0.25">
      <c r="A67" s="8" t="s">
        <v>90</v>
      </c>
      <c r="B67" s="5">
        <v>775</v>
      </c>
    </row>
    <row r="68" spans="1:2" x14ac:dyDescent="0.25">
      <c r="A68" s="7" t="s">
        <v>91</v>
      </c>
      <c r="B68" s="5"/>
    </row>
    <row r="69" spans="1:2" x14ac:dyDescent="0.25">
      <c r="A69" s="8" t="s">
        <v>92</v>
      </c>
      <c r="B69" s="5">
        <v>25</v>
      </c>
    </row>
    <row r="70" spans="1:2" x14ac:dyDescent="0.25">
      <c r="A70" s="7" t="s">
        <v>94</v>
      </c>
      <c r="B70" s="5"/>
    </row>
    <row r="71" spans="1:2" x14ac:dyDescent="0.25">
      <c r="A71" s="8" t="s">
        <v>95</v>
      </c>
      <c r="B71" s="5">
        <v>25</v>
      </c>
    </row>
    <row r="72" spans="1:2" x14ac:dyDescent="0.25">
      <c r="A72" s="7" t="s">
        <v>96</v>
      </c>
      <c r="B72" s="5"/>
    </row>
    <row r="73" spans="1:2" x14ac:dyDescent="0.25">
      <c r="A73" s="8" t="s">
        <v>97</v>
      </c>
      <c r="B73" s="5">
        <v>125</v>
      </c>
    </row>
    <row r="74" spans="1:2" x14ac:dyDescent="0.25">
      <c r="A74" s="7" t="s">
        <v>98</v>
      </c>
      <c r="B74" s="5"/>
    </row>
    <row r="75" spans="1:2" x14ac:dyDescent="0.25">
      <c r="A75" s="8" t="s">
        <v>99</v>
      </c>
      <c r="B75" s="5">
        <v>75</v>
      </c>
    </row>
    <row r="76" spans="1:2" x14ac:dyDescent="0.25">
      <c r="A76" s="7" t="s">
        <v>100</v>
      </c>
      <c r="B76" s="5"/>
    </row>
    <row r="77" spans="1:2" x14ac:dyDescent="0.25">
      <c r="A77" s="8" t="s">
        <v>101</v>
      </c>
      <c r="B77" s="5">
        <v>25</v>
      </c>
    </row>
    <row r="78" spans="1:2" x14ac:dyDescent="0.25">
      <c r="A78" s="7" t="s">
        <v>103</v>
      </c>
      <c r="B78" s="5"/>
    </row>
    <row r="79" spans="1:2" x14ac:dyDescent="0.25">
      <c r="A79" s="8" t="s">
        <v>104</v>
      </c>
      <c r="B79" s="5">
        <v>25</v>
      </c>
    </row>
    <row r="80" spans="1:2" x14ac:dyDescent="0.25">
      <c r="A80" s="7" t="s">
        <v>105</v>
      </c>
      <c r="B80" s="5"/>
    </row>
    <row r="81" spans="1:2" x14ac:dyDescent="0.25">
      <c r="A81" s="8" t="s">
        <v>106</v>
      </c>
      <c r="B81" s="5">
        <v>150</v>
      </c>
    </row>
    <row r="82" spans="1:2" x14ac:dyDescent="0.25">
      <c r="A82" s="7" t="s">
        <v>107</v>
      </c>
      <c r="B82" s="5"/>
    </row>
    <row r="83" spans="1:2" x14ac:dyDescent="0.25">
      <c r="A83" s="8" t="s">
        <v>108</v>
      </c>
      <c r="B83" s="5">
        <v>150</v>
      </c>
    </row>
    <row r="84" spans="1:2" x14ac:dyDescent="0.25">
      <c r="A84" s="7" t="s">
        <v>109</v>
      </c>
      <c r="B84" s="5"/>
    </row>
    <row r="85" spans="1:2" x14ac:dyDescent="0.25">
      <c r="A85" s="8" t="s">
        <v>110</v>
      </c>
      <c r="B85" s="5">
        <v>50</v>
      </c>
    </row>
    <row r="86" spans="1:2" x14ac:dyDescent="0.25">
      <c r="A86" s="7" t="s">
        <v>111</v>
      </c>
      <c r="B86" s="5"/>
    </row>
    <row r="87" spans="1:2" x14ac:dyDescent="0.25">
      <c r="A87" s="8" t="s">
        <v>112</v>
      </c>
      <c r="B87" s="5">
        <v>25</v>
      </c>
    </row>
    <row r="88" spans="1:2" x14ac:dyDescent="0.25">
      <c r="A88" s="7" t="s">
        <v>113</v>
      </c>
      <c r="B88" s="5"/>
    </row>
    <row r="89" spans="1:2" x14ac:dyDescent="0.25">
      <c r="A89" s="8" t="s">
        <v>114</v>
      </c>
      <c r="B89" s="5">
        <v>25</v>
      </c>
    </row>
    <row r="90" spans="1:2" x14ac:dyDescent="0.25">
      <c r="A90" s="7" t="s">
        <v>115</v>
      </c>
      <c r="B90" s="5"/>
    </row>
    <row r="91" spans="1:2" x14ac:dyDescent="0.25">
      <c r="A91" s="8" t="s">
        <v>116</v>
      </c>
      <c r="B91" s="5">
        <v>50</v>
      </c>
    </row>
    <row r="92" spans="1:2" x14ac:dyDescent="0.25">
      <c r="A92" s="7" t="s">
        <v>117</v>
      </c>
      <c r="B92" s="5"/>
    </row>
    <row r="93" spans="1:2" x14ac:dyDescent="0.25">
      <c r="A93" s="8" t="s">
        <v>118</v>
      </c>
      <c r="B93" s="5">
        <v>25</v>
      </c>
    </row>
    <row r="94" spans="1:2" x14ac:dyDescent="0.25">
      <c r="A94" s="7" t="s">
        <v>119</v>
      </c>
      <c r="B94" s="5"/>
    </row>
    <row r="95" spans="1:2" x14ac:dyDescent="0.25">
      <c r="A95" s="8" t="s">
        <v>120</v>
      </c>
      <c r="B95" s="5">
        <v>10</v>
      </c>
    </row>
    <row r="96" spans="1:2" x14ac:dyDescent="0.25">
      <c r="A96" s="7" t="s">
        <v>121</v>
      </c>
      <c r="B96" s="5"/>
    </row>
    <row r="97" spans="1:2" x14ac:dyDescent="0.25">
      <c r="A97" s="8" t="s">
        <v>122</v>
      </c>
      <c r="B97" s="5">
        <v>75</v>
      </c>
    </row>
    <row r="98" spans="1:2" x14ac:dyDescent="0.25">
      <c r="A98" s="7" t="s">
        <v>123</v>
      </c>
      <c r="B98" s="5"/>
    </row>
    <row r="99" spans="1:2" x14ac:dyDescent="0.25">
      <c r="A99" s="8" t="s">
        <v>124</v>
      </c>
      <c r="B99" s="5">
        <v>25</v>
      </c>
    </row>
    <row r="100" spans="1:2" x14ac:dyDescent="0.25">
      <c r="A100" s="7" t="s">
        <v>126</v>
      </c>
      <c r="B100" s="5"/>
    </row>
    <row r="101" spans="1:2" x14ac:dyDescent="0.25">
      <c r="A101" s="8" t="s">
        <v>127</v>
      </c>
      <c r="B101" s="5">
        <v>75</v>
      </c>
    </row>
    <row r="102" spans="1:2" x14ac:dyDescent="0.25">
      <c r="A102" s="7" t="s">
        <v>128</v>
      </c>
      <c r="B102" s="5"/>
    </row>
    <row r="103" spans="1:2" x14ac:dyDescent="0.25">
      <c r="A103" s="8" t="s">
        <v>129</v>
      </c>
      <c r="B103" s="5">
        <v>10</v>
      </c>
    </row>
    <row r="104" spans="1:2" x14ac:dyDescent="0.25">
      <c r="A104" s="7" t="s">
        <v>130</v>
      </c>
      <c r="B104" s="5"/>
    </row>
    <row r="105" spans="1:2" x14ac:dyDescent="0.25">
      <c r="A105" s="8" t="s">
        <v>131</v>
      </c>
      <c r="B105" s="5">
        <v>10</v>
      </c>
    </row>
    <row r="106" spans="1:2" x14ac:dyDescent="0.25">
      <c r="A106" s="7" t="s">
        <v>132</v>
      </c>
      <c r="B106" s="5"/>
    </row>
    <row r="107" spans="1:2" x14ac:dyDescent="0.25">
      <c r="A107" s="8" t="s">
        <v>133</v>
      </c>
      <c r="B107" s="5">
        <v>50</v>
      </c>
    </row>
    <row r="108" spans="1:2" x14ac:dyDescent="0.25">
      <c r="A108" s="7" t="s">
        <v>134</v>
      </c>
      <c r="B108" s="5"/>
    </row>
    <row r="109" spans="1:2" x14ac:dyDescent="0.25">
      <c r="A109" s="8" t="s">
        <v>135</v>
      </c>
      <c r="B109" s="5">
        <v>10</v>
      </c>
    </row>
    <row r="110" spans="1:2" x14ac:dyDescent="0.25">
      <c r="A110" s="7" t="s">
        <v>136</v>
      </c>
      <c r="B110" s="5"/>
    </row>
    <row r="111" spans="1:2" x14ac:dyDescent="0.25">
      <c r="A111" s="8" t="s">
        <v>137</v>
      </c>
      <c r="B111" s="5">
        <v>25</v>
      </c>
    </row>
    <row r="112" spans="1:2" x14ac:dyDescent="0.25">
      <c r="A112" s="7" t="s">
        <v>138</v>
      </c>
      <c r="B112" s="5"/>
    </row>
    <row r="113" spans="1:2" x14ac:dyDescent="0.25">
      <c r="A113" s="8" t="s">
        <v>139</v>
      </c>
      <c r="B113" s="5">
        <v>25</v>
      </c>
    </row>
    <row r="114" spans="1:2" x14ac:dyDescent="0.25">
      <c r="A114" s="7" t="s">
        <v>140</v>
      </c>
      <c r="B114" s="5"/>
    </row>
    <row r="115" spans="1:2" x14ac:dyDescent="0.25">
      <c r="A115" s="8" t="s">
        <v>141</v>
      </c>
      <c r="B115" s="5">
        <v>25</v>
      </c>
    </row>
    <row r="116" spans="1:2" x14ac:dyDescent="0.25">
      <c r="A116" s="7" t="s">
        <v>142</v>
      </c>
      <c r="B116" s="5"/>
    </row>
    <row r="117" spans="1:2" x14ac:dyDescent="0.25">
      <c r="A117" s="8" t="s">
        <v>143</v>
      </c>
      <c r="B117" s="5">
        <v>25</v>
      </c>
    </row>
    <row r="118" spans="1:2" x14ac:dyDescent="0.25">
      <c r="A118" s="7" t="s">
        <v>144</v>
      </c>
      <c r="B118" s="5"/>
    </row>
    <row r="119" spans="1:2" x14ac:dyDescent="0.25">
      <c r="A119" s="8" t="s">
        <v>145</v>
      </c>
      <c r="B119" s="5">
        <v>400</v>
      </c>
    </row>
    <row r="120" spans="1:2" x14ac:dyDescent="0.25">
      <c r="A120" s="7" t="s">
        <v>146</v>
      </c>
      <c r="B120" s="5"/>
    </row>
    <row r="121" spans="1:2" x14ac:dyDescent="0.25">
      <c r="A121" s="8" t="s">
        <v>147</v>
      </c>
      <c r="B121" s="5">
        <v>125</v>
      </c>
    </row>
    <row r="122" spans="1:2" x14ac:dyDescent="0.25">
      <c r="A122" s="7" t="s">
        <v>148</v>
      </c>
      <c r="B122" s="5"/>
    </row>
    <row r="123" spans="1:2" x14ac:dyDescent="0.25">
      <c r="A123" s="8" t="s">
        <v>149</v>
      </c>
      <c r="B123" s="5">
        <v>25</v>
      </c>
    </row>
    <row r="124" spans="1:2" x14ac:dyDescent="0.25">
      <c r="A124" s="7" t="s">
        <v>150</v>
      </c>
      <c r="B124" s="5"/>
    </row>
    <row r="125" spans="1:2" x14ac:dyDescent="0.25">
      <c r="A125" s="8" t="s">
        <v>151</v>
      </c>
      <c r="B125" s="5">
        <v>50</v>
      </c>
    </row>
    <row r="126" spans="1:2" x14ac:dyDescent="0.25">
      <c r="A126" s="7" t="s">
        <v>152</v>
      </c>
      <c r="B126" s="5"/>
    </row>
    <row r="127" spans="1:2" x14ac:dyDescent="0.25">
      <c r="A127" s="8" t="s">
        <v>153</v>
      </c>
      <c r="B127" s="5">
        <v>25</v>
      </c>
    </row>
    <row r="128" spans="1:2" x14ac:dyDescent="0.25">
      <c r="A128" s="7" t="s">
        <v>154</v>
      </c>
      <c r="B128" s="5"/>
    </row>
    <row r="129" spans="1:2" x14ac:dyDescent="0.25">
      <c r="A129" s="8" t="s">
        <v>155</v>
      </c>
      <c r="B129" s="5">
        <v>25</v>
      </c>
    </row>
    <row r="130" spans="1:2" x14ac:dyDescent="0.25">
      <c r="A130" s="7" t="s">
        <v>156</v>
      </c>
      <c r="B130" s="5"/>
    </row>
    <row r="131" spans="1:2" x14ac:dyDescent="0.25">
      <c r="A131" s="8" t="s">
        <v>157</v>
      </c>
      <c r="B131" s="5">
        <v>50</v>
      </c>
    </row>
    <row r="132" spans="1:2" x14ac:dyDescent="0.25">
      <c r="A132" s="7" t="s">
        <v>158</v>
      </c>
      <c r="B132" s="5"/>
    </row>
    <row r="133" spans="1:2" x14ac:dyDescent="0.25">
      <c r="A133" s="8" t="s">
        <v>159</v>
      </c>
      <c r="B133" s="5">
        <v>1100</v>
      </c>
    </row>
    <row r="134" spans="1:2" x14ac:dyDescent="0.25">
      <c r="A134" s="7" t="s">
        <v>160</v>
      </c>
      <c r="B134" s="5"/>
    </row>
    <row r="135" spans="1:2" x14ac:dyDescent="0.25">
      <c r="A135" s="8" t="s">
        <v>161</v>
      </c>
      <c r="B135" s="5">
        <v>375</v>
      </c>
    </row>
    <row r="136" spans="1:2" x14ac:dyDescent="0.25">
      <c r="A136" s="7" t="s">
        <v>162</v>
      </c>
      <c r="B136" s="5"/>
    </row>
    <row r="137" spans="1:2" x14ac:dyDescent="0.25">
      <c r="A137" s="8" t="s">
        <v>163</v>
      </c>
      <c r="B137" s="5">
        <v>10</v>
      </c>
    </row>
    <row r="138" spans="1:2" x14ac:dyDescent="0.25">
      <c r="A138" s="7" t="s">
        <v>165</v>
      </c>
      <c r="B138" s="5"/>
    </row>
    <row r="139" spans="1:2" x14ac:dyDescent="0.25">
      <c r="A139" s="8" t="s">
        <v>166</v>
      </c>
      <c r="B139" s="5">
        <v>20</v>
      </c>
    </row>
    <row r="140" spans="1:2" x14ac:dyDescent="0.25">
      <c r="A140" s="7" t="s">
        <v>167</v>
      </c>
      <c r="B140" s="5"/>
    </row>
    <row r="141" spans="1:2" x14ac:dyDescent="0.25">
      <c r="A141" s="8" t="s">
        <v>168</v>
      </c>
      <c r="B141" s="5">
        <v>10</v>
      </c>
    </row>
    <row r="142" spans="1:2" x14ac:dyDescent="0.25">
      <c r="A142" s="7" t="s">
        <v>169</v>
      </c>
      <c r="B142" s="5"/>
    </row>
    <row r="143" spans="1:2" x14ac:dyDescent="0.25">
      <c r="A143" s="8" t="s">
        <v>170</v>
      </c>
      <c r="B143" s="5">
        <v>10</v>
      </c>
    </row>
    <row r="144" spans="1:2" x14ac:dyDescent="0.25">
      <c r="A144" s="7" t="s">
        <v>171</v>
      </c>
      <c r="B144" s="5"/>
    </row>
    <row r="145" spans="1:2" x14ac:dyDescent="0.25">
      <c r="A145" s="8" t="s">
        <v>172</v>
      </c>
      <c r="B145" s="5">
        <v>10</v>
      </c>
    </row>
    <row r="146" spans="1:2" x14ac:dyDescent="0.25">
      <c r="A146" s="7" t="s">
        <v>173</v>
      </c>
      <c r="B146" s="5"/>
    </row>
    <row r="147" spans="1:2" x14ac:dyDescent="0.25">
      <c r="A147" s="8" t="s">
        <v>174</v>
      </c>
      <c r="B147" s="5">
        <v>10</v>
      </c>
    </row>
    <row r="148" spans="1:2" x14ac:dyDescent="0.25">
      <c r="A148" s="7" t="s">
        <v>175</v>
      </c>
      <c r="B148" s="5"/>
    </row>
    <row r="149" spans="1:2" x14ac:dyDescent="0.25">
      <c r="A149" s="8" t="s">
        <v>176</v>
      </c>
      <c r="B149" s="5">
        <v>60</v>
      </c>
    </row>
    <row r="150" spans="1:2" x14ac:dyDescent="0.25">
      <c r="A150" s="7" t="s">
        <v>178</v>
      </c>
      <c r="B150" s="5"/>
    </row>
    <row r="151" spans="1:2" x14ac:dyDescent="0.25">
      <c r="A151" s="8" t="s">
        <v>179</v>
      </c>
      <c r="B151" s="5">
        <v>10</v>
      </c>
    </row>
    <row r="152" spans="1:2" x14ac:dyDescent="0.25">
      <c r="A152" s="7" t="s">
        <v>180</v>
      </c>
      <c r="B152" s="5"/>
    </row>
    <row r="153" spans="1:2" x14ac:dyDescent="0.25">
      <c r="A153" s="8" t="s">
        <v>181</v>
      </c>
      <c r="B153" s="5">
        <v>1500000</v>
      </c>
    </row>
    <row r="154" spans="1:2" x14ac:dyDescent="0.25">
      <c r="A154" s="7" t="s">
        <v>183</v>
      </c>
      <c r="B154" s="5"/>
    </row>
    <row r="155" spans="1:2" x14ac:dyDescent="0.25">
      <c r="A155" s="8" t="s">
        <v>184</v>
      </c>
      <c r="B155" s="5">
        <v>4050000</v>
      </c>
    </row>
    <row r="156" spans="1:2" x14ac:dyDescent="0.25">
      <c r="A156" s="7" t="s">
        <v>185</v>
      </c>
      <c r="B156" s="5"/>
    </row>
    <row r="157" spans="1:2" x14ac:dyDescent="0.25">
      <c r="A157" s="8" t="s">
        <v>186</v>
      </c>
      <c r="B157" s="5">
        <v>8070000</v>
      </c>
    </row>
    <row r="158" spans="1:2" x14ac:dyDescent="0.25">
      <c r="A158" s="7" t="s">
        <v>188</v>
      </c>
      <c r="B158" s="5">
        <v>13632145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6"/>
  <sheetViews>
    <sheetView topLeftCell="E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6.140625" bestFit="1" customWidth="1"/>
    <col min="2" max="2" width="11.28515625" bestFit="1" customWidth="1"/>
    <col min="3" max="3" width="5" bestFit="1" customWidth="1"/>
    <col min="4" max="4" width="19.5703125" bestFit="1" customWidth="1"/>
    <col min="5" max="5" width="26.5703125" bestFit="1" customWidth="1"/>
    <col min="6" max="6" width="24.7109375" bestFit="1" customWidth="1"/>
    <col min="7" max="7" width="15" bestFit="1" customWidth="1"/>
    <col min="8" max="8" width="18" bestFit="1" customWidth="1"/>
    <col min="9" max="9" width="14.85546875" bestFit="1" customWidth="1"/>
    <col min="10" max="10" width="6.7109375" bestFit="1" customWidth="1"/>
    <col min="11" max="11" width="24.42578125" bestFit="1" customWidth="1"/>
    <col min="12" max="12" width="16.85546875" bestFit="1" customWidth="1"/>
    <col min="13" max="13" width="12.28515625" bestFit="1" customWidth="1"/>
    <col min="14" max="14" width="9.5703125" bestFit="1" customWidth="1"/>
    <col min="15" max="15" width="25.85546875" bestFit="1" customWidth="1"/>
    <col min="16" max="16" width="15.28515625" bestFit="1" customWidth="1"/>
    <col min="17" max="17" width="16.85546875" bestFit="1" customWidth="1"/>
    <col min="18" max="18" width="27.5703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3" t="b">
        <f>FALSE()</f>
        <v>0</v>
      </c>
      <c r="F2" s="4"/>
      <c r="G2" s="4">
        <v>46322</v>
      </c>
      <c r="H2" s="4">
        <v>46352</v>
      </c>
      <c r="I2" s="4">
        <v>46352</v>
      </c>
      <c r="J2" s="2" t="s">
        <v>22</v>
      </c>
      <c r="K2" s="2" t="s">
        <v>23</v>
      </c>
      <c r="L2" s="5">
        <v>0</v>
      </c>
      <c r="M2" s="3" t="b">
        <f>FALSE()</f>
        <v>0</v>
      </c>
      <c r="N2" s="5">
        <v>525</v>
      </c>
      <c r="O2" s="2" t="s">
        <v>24</v>
      </c>
      <c r="P2" s="2" t="s">
        <v>25</v>
      </c>
      <c r="Q2" s="2" t="s">
        <v>22</v>
      </c>
      <c r="R2" s="2" t="s">
        <v>23</v>
      </c>
    </row>
    <row r="3" spans="1:18" x14ac:dyDescent="0.25">
      <c r="A3" s="2" t="s">
        <v>18</v>
      </c>
      <c r="B3" s="2" t="s">
        <v>26</v>
      </c>
      <c r="C3" s="2" t="s">
        <v>27</v>
      </c>
      <c r="D3" s="2" t="s">
        <v>21</v>
      </c>
      <c r="E3" s="3" t="b">
        <f>FALSE()</f>
        <v>0</v>
      </c>
      <c r="F3" s="4"/>
      <c r="G3" s="4">
        <v>46116</v>
      </c>
      <c r="H3" s="4">
        <v>46146</v>
      </c>
      <c r="I3" s="4">
        <v>46146</v>
      </c>
      <c r="J3" s="2" t="s">
        <v>28</v>
      </c>
      <c r="K3" s="2" t="s">
        <v>23</v>
      </c>
      <c r="L3" s="5">
        <v>0</v>
      </c>
      <c r="M3" s="3" t="b">
        <f>FALSE()</f>
        <v>0</v>
      </c>
      <c r="N3" s="5">
        <v>100</v>
      </c>
      <c r="O3" s="2" t="s">
        <v>24</v>
      </c>
      <c r="P3" s="2" t="s">
        <v>25</v>
      </c>
      <c r="Q3" s="2" t="s">
        <v>28</v>
      </c>
      <c r="R3" s="2" t="s">
        <v>23</v>
      </c>
    </row>
    <row r="4" spans="1:18" x14ac:dyDescent="0.25">
      <c r="A4" s="2" t="s">
        <v>18</v>
      </c>
      <c r="B4" s="2" t="s">
        <v>19</v>
      </c>
      <c r="C4" s="2" t="s">
        <v>27</v>
      </c>
      <c r="D4" s="2" t="s">
        <v>21</v>
      </c>
      <c r="E4" s="3" t="b">
        <f>TRUE()</f>
        <v>1</v>
      </c>
      <c r="F4" s="4"/>
      <c r="G4" s="4">
        <v>46307</v>
      </c>
      <c r="H4" s="4">
        <v>46337</v>
      </c>
      <c r="I4" s="4">
        <v>46337</v>
      </c>
      <c r="J4" s="2" t="s">
        <v>28</v>
      </c>
      <c r="K4" s="2" t="s">
        <v>23</v>
      </c>
      <c r="L4" s="5">
        <v>0</v>
      </c>
      <c r="M4" s="3" t="b">
        <f>FALSE()</f>
        <v>0</v>
      </c>
      <c r="N4" s="5">
        <v>100</v>
      </c>
      <c r="O4" s="2" t="s">
        <v>24</v>
      </c>
      <c r="P4" s="2" t="s">
        <v>25</v>
      </c>
      <c r="Q4" s="2" t="s">
        <v>28</v>
      </c>
      <c r="R4" s="2" t="s">
        <v>23</v>
      </c>
    </row>
    <row r="5" spans="1:18" x14ac:dyDescent="0.25">
      <c r="A5" s="2" t="s">
        <v>18</v>
      </c>
      <c r="B5" s="2" t="s">
        <v>19</v>
      </c>
      <c r="C5" s="2" t="s">
        <v>27</v>
      </c>
      <c r="D5" s="2" t="s">
        <v>21</v>
      </c>
      <c r="E5" s="3" t="b">
        <f>TRUE()</f>
        <v>1</v>
      </c>
      <c r="F5" s="4"/>
      <c r="G5" s="4">
        <v>46307</v>
      </c>
      <c r="H5" s="4">
        <v>46337</v>
      </c>
      <c r="I5" s="4">
        <v>46337</v>
      </c>
      <c r="J5" s="2" t="s">
        <v>28</v>
      </c>
      <c r="K5" s="2" t="s">
        <v>23</v>
      </c>
      <c r="L5" s="5">
        <v>0</v>
      </c>
      <c r="M5" s="3" t="b">
        <f>FALSE()</f>
        <v>0</v>
      </c>
      <c r="N5" s="5">
        <v>100</v>
      </c>
      <c r="O5" s="2" t="s">
        <v>24</v>
      </c>
      <c r="P5" s="2" t="s">
        <v>25</v>
      </c>
      <c r="Q5" s="2" t="s">
        <v>28</v>
      </c>
      <c r="R5" s="2" t="s">
        <v>23</v>
      </c>
    </row>
    <row r="6" spans="1:18" x14ac:dyDescent="0.25">
      <c r="A6" s="2" t="s">
        <v>18</v>
      </c>
      <c r="B6" s="2" t="s">
        <v>19</v>
      </c>
      <c r="C6" s="2" t="s">
        <v>27</v>
      </c>
      <c r="D6" s="2" t="s">
        <v>21</v>
      </c>
      <c r="E6" s="3" t="b">
        <f>TRUE()</f>
        <v>1</v>
      </c>
      <c r="F6" s="4"/>
      <c r="G6" s="4">
        <v>46307</v>
      </c>
      <c r="H6" s="4">
        <v>46337</v>
      </c>
      <c r="I6" s="4">
        <v>46337</v>
      </c>
      <c r="J6" s="2" t="s">
        <v>28</v>
      </c>
      <c r="K6" s="2" t="s">
        <v>23</v>
      </c>
      <c r="L6" s="5">
        <v>0</v>
      </c>
      <c r="M6" s="3" t="b">
        <f>FALSE()</f>
        <v>0</v>
      </c>
      <c r="N6" s="5">
        <v>100</v>
      </c>
      <c r="O6" s="2" t="s">
        <v>24</v>
      </c>
      <c r="P6" s="2" t="s">
        <v>25</v>
      </c>
      <c r="Q6" s="2" t="s">
        <v>28</v>
      </c>
      <c r="R6" s="2" t="s">
        <v>23</v>
      </c>
    </row>
    <row r="7" spans="1:18" x14ac:dyDescent="0.25">
      <c r="A7" s="2" t="s">
        <v>18</v>
      </c>
      <c r="B7" s="2" t="s">
        <v>19</v>
      </c>
      <c r="C7" s="2" t="s">
        <v>29</v>
      </c>
      <c r="D7" s="2" t="s">
        <v>21</v>
      </c>
      <c r="E7" s="3" t="b">
        <f>TRUE()</f>
        <v>1</v>
      </c>
      <c r="F7" s="4"/>
      <c r="G7" s="4">
        <v>46140</v>
      </c>
      <c r="H7" s="4">
        <v>46170</v>
      </c>
      <c r="I7" s="4">
        <v>46170</v>
      </c>
      <c r="J7" s="2" t="s">
        <v>30</v>
      </c>
      <c r="K7" s="2" t="s">
        <v>23</v>
      </c>
      <c r="L7" s="5">
        <v>0</v>
      </c>
      <c r="M7" s="3" t="b">
        <f>FALSE()</f>
        <v>0</v>
      </c>
      <c r="N7" s="5">
        <v>40</v>
      </c>
      <c r="O7" s="2" t="s">
        <v>24</v>
      </c>
      <c r="P7" s="2" t="s">
        <v>25</v>
      </c>
      <c r="Q7" s="2" t="s">
        <v>30</v>
      </c>
      <c r="R7" s="2" t="s">
        <v>23</v>
      </c>
    </row>
    <row r="8" spans="1:18" x14ac:dyDescent="0.25">
      <c r="A8" s="2" t="s">
        <v>18</v>
      </c>
      <c r="B8" s="2" t="s">
        <v>19</v>
      </c>
      <c r="C8" s="2" t="s">
        <v>31</v>
      </c>
      <c r="D8" s="2" t="s">
        <v>21</v>
      </c>
      <c r="E8" s="3" t="b">
        <f>TRUE()</f>
        <v>1</v>
      </c>
      <c r="F8" s="4"/>
      <c r="G8" s="4">
        <v>46307</v>
      </c>
      <c r="H8" s="4">
        <v>46337</v>
      </c>
      <c r="I8" s="4">
        <v>46337</v>
      </c>
      <c r="J8" s="2" t="s">
        <v>32</v>
      </c>
      <c r="K8" s="2" t="s">
        <v>23</v>
      </c>
      <c r="L8" s="5">
        <v>0</v>
      </c>
      <c r="M8" s="3" t="b">
        <f>FALSE()</f>
        <v>0</v>
      </c>
      <c r="N8" s="5">
        <v>360</v>
      </c>
      <c r="O8" s="2" t="s">
        <v>24</v>
      </c>
      <c r="P8" s="2" t="s">
        <v>25</v>
      </c>
      <c r="Q8" s="2" t="s">
        <v>32</v>
      </c>
      <c r="R8" s="2" t="s">
        <v>23</v>
      </c>
    </row>
    <row r="9" spans="1:18" x14ac:dyDescent="0.25">
      <c r="A9" s="2" t="s">
        <v>18</v>
      </c>
      <c r="B9" s="2" t="s">
        <v>19</v>
      </c>
      <c r="C9" s="2" t="s">
        <v>33</v>
      </c>
      <c r="D9" s="2" t="s">
        <v>21</v>
      </c>
      <c r="E9" s="3" t="b">
        <f>TRUE()</f>
        <v>1</v>
      </c>
      <c r="F9" s="4"/>
      <c r="G9" s="4">
        <v>46348</v>
      </c>
      <c r="H9" s="4">
        <v>46378</v>
      </c>
      <c r="I9" s="4">
        <v>46378</v>
      </c>
      <c r="J9" s="2" t="s">
        <v>34</v>
      </c>
      <c r="K9" s="2" t="s">
        <v>23</v>
      </c>
      <c r="L9" s="5">
        <v>0</v>
      </c>
      <c r="M9" s="3" t="b">
        <f>FALSE()</f>
        <v>0</v>
      </c>
      <c r="N9" s="5">
        <v>500</v>
      </c>
      <c r="O9" s="2" t="s">
        <v>24</v>
      </c>
      <c r="P9" s="2" t="s">
        <v>25</v>
      </c>
      <c r="Q9" s="2" t="s">
        <v>34</v>
      </c>
      <c r="R9" s="2" t="s">
        <v>23</v>
      </c>
    </row>
    <row r="10" spans="1:18" x14ac:dyDescent="0.25">
      <c r="A10" s="2" t="s">
        <v>18</v>
      </c>
      <c r="B10" s="2" t="s">
        <v>19</v>
      </c>
      <c r="C10" s="2" t="s">
        <v>35</v>
      </c>
      <c r="D10" s="2" t="s">
        <v>21</v>
      </c>
      <c r="E10" s="3" t="b">
        <f>TRUE()</f>
        <v>1</v>
      </c>
      <c r="F10" s="4"/>
      <c r="G10" s="4">
        <v>46347</v>
      </c>
      <c r="H10" s="4">
        <v>46377</v>
      </c>
      <c r="I10" s="4">
        <v>46377</v>
      </c>
      <c r="J10" s="2" t="s">
        <v>36</v>
      </c>
      <c r="K10" s="2" t="s">
        <v>23</v>
      </c>
      <c r="L10" s="5">
        <v>0</v>
      </c>
      <c r="M10" s="3" t="b">
        <f>FALSE()</f>
        <v>0</v>
      </c>
      <c r="N10" s="5">
        <v>75</v>
      </c>
      <c r="O10" s="2" t="s">
        <v>24</v>
      </c>
      <c r="P10" s="2" t="s">
        <v>25</v>
      </c>
      <c r="Q10" s="2" t="s">
        <v>36</v>
      </c>
      <c r="R10" s="2" t="s">
        <v>23</v>
      </c>
    </row>
    <row r="11" spans="1:18" x14ac:dyDescent="0.25">
      <c r="A11" s="2" t="s">
        <v>18</v>
      </c>
      <c r="B11" s="2" t="s">
        <v>19</v>
      </c>
      <c r="C11" s="2" t="s">
        <v>37</v>
      </c>
      <c r="D11" s="2" t="s">
        <v>21</v>
      </c>
      <c r="E11" s="3" t="b">
        <f>TRUE()</f>
        <v>1</v>
      </c>
      <c r="F11" s="4"/>
      <c r="G11" s="4">
        <v>46328</v>
      </c>
      <c r="H11" s="4">
        <v>46358</v>
      </c>
      <c r="I11" s="4">
        <v>46358</v>
      </c>
      <c r="J11" s="2" t="s">
        <v>38</v>
      </c>
      <c r="K11" s="2" t="s">
        <v>23</v>
      </c>
      <c r="L11" s="5">
        <v>0</v>
      </c>
      <c r="M11" s="3" t="b">
        <f>FALSE()</f>
        <v>0</v>
      </c>
      <c r="N11" s="5">
        <v>200</v>
      </c>
      <c r="O11" s="2" t="s">
        <v>24</v>
      </c>
      <c r="P11" s="2" t="s">
        <v>25</v>
      </c>
      <c r="Q11" s="2" t="s">
        <v>38</v>
      </c>
      <c r="R11" s="2" t="s">
        <v>23</v>
      </c>
    </row>
    <row r="12" spans="1:18" x14ac:dyDescent="0.25">
      <c r="A12" s="2" t="s">
        <v>18</v>
      </c>
      <c r="B12" s="2" t="s">
        <v>19</v>
      </c>
      <c r="C12" s="2" t="s">
        <v>37</v>
      </c>
      <c r="D12" s="2" t="s">
        <v>21</v>
      </c>
      <c r="E12" s="3" t="b">
        <f>TRUE()</f>
        <v>1</v>
      </c>
      <c r="F12" s="4"/>
      <c r="G12" s="4">
        <v>46347</v>
      </c>
      <c r="H12" s="4">
        <v>46377</v>
      </c>
      <c r="I12" s="4">
        <v>46377</v>
      </c>
      <c r="J12" s="2" t="s">
        <v>38</v>
      </c>
      <c r="K12" s="2" t="s">
        <v>23</v>
      </c>
      <c r="L12" s="5">
        <v>0</v>
      </c>
      <c r="M12" s="3" t="b">
        <f>FALSE()</f>
        <v>0</v>
      </c>
      <c r="N12" s="5">
        <v>75</v>
      </c>
      <c r="O12" s="2" t="s">
        <v>24</v>
      </c>
      <c r="P12" s="2" t="s">
        <v>25</v>
      </c>
      <c r="Q12" s="2" t="s">
        <v>38</v>
      </c>
      <c r="R12" s="2" t="s">
        <v>23</v>
      </c>
    </row>
    <row r="13" spans="1:18" x14ac:dyDescent="0.25">
      <c r="A13" s="2" t="s">
        <v>18</v>
      </c>
      <c r="B13" s="2" t="s">
        <v>19</v>
      </c>
      <c r="C13" s="2" t="s">
        <v>39</v>
      </c>
      <c r="D13" s="2" t="s">
        <v>21</v>
      </c>
      <c r="E13" s="3" t="b">
        <f>TRUE()</f>
        <v>1</v>
      </c>
      <c r="F13" s="4"/>
      <c r="G13" s="4">
        <v>46347</v>
      </c>
      <c r="H13" s="4">
        <v>46377</v>
      </c>
      <c r="I13" s="4">
        <v>46377</v>
      </c>
      <c r="J13" s="2" t="s">
        <v>40</v>
      </c>
      <c r="K13" s="2" t="s">
        <v>23</v>
      </c>
      <c r="L13" s="5">
        <v>0</v>
      </c>
      <c r="M13" s="3" t="b">
        <f>FALSE()</f>
        <v>0</v>
      </c>
      <c r="N13" s="5">
        <v>30</v>
      </c>
      <c r="O13" s="2" t="s">
        <v>24</v>
      </c>
      <c r="P13" s="2" t="s">
        <v>25</v>
      </c>
      <c r="Q13" s="2" t="s">
        <v>40</v>
      </c>
      <c r="R13" s="2" t="s">
        <v>23</v>
      </c>
    </row>
    <row r="14" spans="1:18" x14ac:dyDescent="0.25">
      <c r="A14" s="2" t="s">
        <v>18</v>
      </c>
      <c r="B14" s="2" t="s">
        <v>19</v>
      </c>
      <c r="C14" s="2" t="s">
        <v>41</v>
      </c>
      <c r="D14" s="2" t="s">
        <v>21</v>
      </c>
      <c r="E14" s="3" t="b">
        <f>TRUE()</f>
        <v>1</v>
      </c>
      <c r="F14" s="4"/>
      <c r="G14" s="4">
        <v>46328</v>
      </c>
      <c r="H14" s="4">
        <v>46358</v>
      </c>
      <c r="I14" s="4">
        <v>46358</v>
      </c>
      <c r="J14" s="2" t="s">
        <v>42</v>
      </c>
      <c r="K14" s="2" t="s">
        <v>23</v>
      </c>
      <c r="L14" s="5">
        <v>0</v>
      </c>
      <c r="M14" s="3" t="b">
        <f>FALSE()</f>
        <v>0</v>
      </c>
      <c r="N14" s="5">
        <v>450</v>
      </c>
      <c r="O14" s="2" t="s">
        <v>24</v>
      </c>
      <c r="P14" s="2" t="s">
        <v>25</v>
      </c>
      <c r="Q14" s="2" t="s">
        <v>42</v>
      </c>
      <c r="R14" s="2" t="s">
        <v>23</v>
      </c>
    </row>
    <row r="15" spans="1:18" x14ac:dyDescent="0.25">
      <c r="A15" s="2" t="s">
        <v>18</v>
      </c>
      <c r="B15" s="2" t="s">
        <v>19</v>
      </c>
      <c r="C15" s="2" t="s">
        <v>43</v>
      </c>
      <c r="D15" s="2" t="s">
        <v>21</v>
      </c>
      <c r="E15" s="3" t="b">
        <f>TRUE()</f>
        <v>1</v>
      </c>
      <c r="F15" s="4"/>
      <c r="G15" s="4">
        <v>46328</v>
      </c>
      <c r="H15" s="4">
        <v>46358</v>
      </c>
      <c r="I15" s="4">
        <v>46358</v>
      </c>
      <c r="J15" s="2" t="s">
        <v>44</v>
      </c>
      <c r="K15" s="2" t="s">
        <v>23</v>
      </c>
      <c r="L15" s="5">
        <v>0</v>
      </c>
      <c r="M15" s="3" t="b">
        <f>FALSE()</f>
        <v>0</v>
      </c>
      <c r="N15" s="5">
        <v>100</v>
      </c>
      <c r="O15" s="2" t="s">
        <v>24</v>
      </c>
      <c r="P15" s="2" t="s">
        <v>25</v>
      </c>
      <c r="Q15" s="2" t="s">
        <v>44</v>
      </c>
      <c r="R15" s="2" t="s">
        <v>23</v>
      </c>
    </row>
    <row r="16" spans="1:18" x14ac:dyDescent="0.25">
      <c r="A16" s="2" t="s">
        <v>18</v>
      </c>
      <c r="B16" s="2" t="s">
        <v>19</v>
      </c>
      <c r="C16" s="2" t="s">
        <v>45</v>
      </c>
      <c r="D16" s="2" t="s">
        <v>21</v>
      </c>
      <c r="E16" s="3" t="b">
        <f>TRUE()</f>
        <v>1</v>
      </c>
      <c r="F16" s="4"/>
      <c r="G16" s="4">
        <v>46328</v>
      </c>
      <c r="H16" s="4">
        <v>46358</v>
      </c>
      <c r="I16" s="4">
        <v>46358</v>
      </c>
      <c r="J16" s="2" t="s">
        <v>46</v>
      </c>
      <c r="K16" s="2" t="s">
        <v>23</v>
      </c>
      <c r="L16" s="5">
        <v>0</v>
      </c>
      <c r="M16" s="3" t="b">
        <f>FALSE()</f>
        <v>0</v>
      </c>
      <c r="N16" s="5">
        <v>100</v>
      </c>
      <c r="O16" s="2" t="s">
        <v>24</v>
      </c>
      <c r="P16" s="2" t="s">
        <v>25</v>
      </c>
      <c r="Q16" s="2" t="s">
        <v>46</v>
      </c>
      <c r="R16" s="2" t="s">
        <v>23</v>
      </c>
    </row>
    <row r="17" spans="1:18" x14ac:dyDescent="0.25">
      <c r="A17" s="2" t="s">
        <v>18</v>
      </c>
      <c r="B17" s="2" t="s">
        <v>19</v>
      </c>
      <c r="C17" s="2" t="s">
        <v>47</v>
      </c>
      <c r="D17" s="2" t="s">
        <v>21</v>
      </c>
      <c r="E17" s="3" t="b">
        <f>TRUE()</f>
        <v>1</v>
      </c>
      <c r="F17" s="4"/>
      <c r="G17" s="4">
        <v>46328</v>
      </c>
      <c r="H17" s="4">
        <v>46358</v>
      </c>
      <c r="I17" s="4">
        <v>46358</v>
      </c>
      <c r="J17" s="2" t="s">
        <v>48</v>
      </c>
      <c r="K17" s="2" t="s">
        <v>23</v>
      </c>
      <c r="L17" s="5">
        <v>0</v>
      </c>
      <c r="M17" s="3" t="b">
        <f>FALSE()</f>
        <v>0</v>
      </c>
      <c r="N17" s="5">
        <v>50</v>
      </c>
      <c r="O17" s="2" t="s">
        <v>24</v>
      </c>
      <c r="P17" s="2" t="s">
        <v>25</v>
      </c>
      <c r="Q17" s="2" t="s">
        <v>48</v>
      </c>
      <c r="R17" s="2" t="s">
        <v>23</v>
      </c>
    </row>
    <row r="18" spans="1:18" x14ac:dyDescent="0.25">
      <c r="A18" s="2" t="s">
        <v>18</v>
      </c>
      <c r="B18" s="2" t="s">
        <v>19</v>
      </c>
      <c r="C18" s="2" t="s">
        <v>49</v>
      </c>
      <c r="D18" s="2" t="s">
        <v>21</v>
      </c>
      <c r="E18" s="3" t="b">
        <f>TRUE()</f>
        <v>1</v>
      </c>
      <c r="F18" s="4"/>
      <c r="G18" s="4">
        <v>46307</v>
      </c>
      <c r="H18" s="4">
        <v>46337</v>
      </c>
      <c r="I18" s="4">
        <v>46337</v>
      </c>
      <c r="J18" s="2" t="s">
        <v>50</v>
      </c>
      <c r="K18" s="2" t="s">
        <v>23</v>
      </c>
      <c r="L18" s="5">
        <v>0</v>
      </c>
      <c r="M18" s="3" t="b">
        <f>FALSE()</f>
        <v>0</v>
      </c>
      <c r="N18" s="5">
        <v>1000</v>
      </c>
      <c r="O18" s="2" t="s">
        <v>24</v>
      </c>
      <c r="P18" s="2" t="s">
        <v>25</v>
      </c>
      <c r="Q18" s="2" t="s">
        <v>50</v>
      </c>
      <c r="R18" s="2" t="s">
        <v>23</v>
      </c>
    </row>
    <row r="19" spans="1:18" x14ac:dyDescent="0.25">
      <c r="A19" s="2" t="s">
        <v>18</v>
      </c>
      <c r="B19" s="2" t="s">
        <v>19</v>
      </c>
      <c r="C19" s="2" t="s">
        <v>49</v>
      </c>
      <c r="D19" s="2" t="s">
        <v>21</v>
      </c>
      <c r="E19" s="3" t="b">
        <f>TRUE()</f>
        <v>1</v>
      </c>
      <c r="F19" s="4"/>
      <c r="G19" s="4">
        <v>46307</v>
      </c>
      <c r="H19" s="4">
        <v>46337</v>
      </c>
      <c r="I19" s="4">
        <v>46337</v>
      </c>
      <c r="J19" s="2" t="s">
        <v>50</v>
      </c>
      <c r="K19" s="2" t="s">
        <v>23</v>
      </c>
      <c r="L19" s="5">
        <v>0</v>
      </c>
      <c r="M19" s="3" t="b">
        <f>FALSE()</f>
        <v>0</v>
      </c>
      <c r="N19" s="5">
        <v>500</v>
      </c>
      <c r="O19" s="2" t="s">
        <v>24</v>
      </c>
      <c r="P19" s="2" t="s">
        <v>25</v>
      </c>
      <c r="Q19" s="2" t="s">
        <v>50</v>
      </c>
      <c r="R19" s="2" t="s">
        <v>23</v>
      </c>
    </row>
    <row r="20" spans="1:18" x14ac:dyDescent="0.25">
      <c r="A20" s="2" t="s">
        <v>18</v>
      </c>
      <c r="B20" s="2" t="s">
        <v>19</v>
      </c>
      <c r="C20" s="2" t="s">
        <v>51</v>
      </c>
      <c r="D20" s="2" t="s">
        <v>21</v>
      </c>
      <c r="E20" s="3" t="b">
        <f>TRUE()</f>
        <v>1</v>
      </c>
      <c r="F20" s="4"/>
      <c r="G20" s="4">
        <v>46355</v>
      </c>
      <c r="H20" s="4">
        <v>46385</v>
      </c>
      <c r="I20" s="4">
        <v>46385</v>
      </c>
      <c r="J20" s="2" t="s">
        <v>52</v>
      </c>
      <c r="K20" s="2" t="s">
        <v>23</v>
      </c>
      <c r="L20" s="5">
        <v>0</v>
      </c>
      <c r="M20" s="3" t="b">
        <f>FALSE()</f>
        <v>0</v>
      </c>
      <c r="N20" s="5">
        <v>25</v>
      </c>
      <c r="O20" s="2" t="s">
        <v>24</v>
      </c>
      <c r="P20" s="2" t="s">
        <v>25</v>
      </c>
      <c r="Q20" s="2" t="s">
        <v>52</v>
      </c>
      <c r="R20" s="2" t="s">
        <v>23</v>
      </c>
    </row>
    <row r="21" spans="1:18" x14ac:dyDescent="0.25">
      <c r="A21" s="2" t="s">
        <v>18</v>
      </c>
      <c r="B21" s="2" t="s">
        <v>19</v>
      </c>
      <c r="C21" s="2" t="s">
        <v>53</v>
      </c>
      <c r="D21" s="2" t="s">
        <v>21</v>
      </c>
      <c r="E21" s="3" t="b">
        <f>TRUE()</f>
        <v>1</v>
      </c>
      <c r="F21" s="4"/>
      <c r="G21" s="4">
        <v>46138</v>
      </c>
      <c r="H21" s="4">
        <v>46168</v>
      </c>
      <c r="I21" s="4">
        <v>46168</v>
      </c>
      <c r="J21" s="2" t="s">
        <v>54</v>
      </c>
      <c r="K21" s="2" t="s">
        <v>23</v>
      </c>
      <c r="L21" s="5">
        <v>0</v>
      </c>
      <c r="M21" s="3" t="b">
        <f>FALSE()</f>
        <v>0</v>
      </c>
      <c r="N21" s="5">
        <v>25</v>
      </c>
      <c r="O21" s="2" t="s">
        <v>24</v>
      </c>
      <c r="P21" s="2" t="s">
        <v>55</v>
      </c>
      <c r="Q21" s="2" t="s">
        <v>54</v>
      </c>
      <c r="R21" s="2" t="s">
        <v>23</v>
      </c>
    </row>
    <row r="22" spans="1:18" x14ac:dyDescent="0.25">
      <c r="A22" s="2" t="s">
        <v>18</v>
      </c>
      <c r="B22" s="2" t="s">
        <v>19</v>
      </c>
      <c r="C22" s="2" t="s">
        <v>53</v>
      </c>
      <c r="D22" s="2" t="s">
        <v>21</v>
      </c>
      <c r="E22" s="3" t="b">
        <f>TRUE()</f>
        <v>1</v>
      </c>
      <c r="F22" s="4"/>
      <c r="G22" s="4">
        <v>46355</v>
      </c>
      <c r="H22" s="4">
        <v>46385</v>
      </c>
      <c r="I22" s="4">
        <v>46385</v>
      </c>
      <c r="J22" s="2" t="s">
        <v>54</v>
      </c>
      <c r="K22" s="2" t="s">
        <v>23</v>
      </c>
      <c r="L22" s="5">
        <v>0</v>
      </c>
      <c r="M22" s="3" t="b">
        <f>FALSE()</f>
        <v>0</v>
      </c>
      <c r="N22" s="5">
        <v>25</v>
      </c>
      <c r="O22" s="2" t="s">
        <v>24</v>
      </c>
      <c r="P22" s="2" t="s">
        <v>55</v>
      </c>
      <c r="Q22" s="2" t="s">
        <v>54</v>
      </c>
      <c r="R22" s="2" t="s">
        <v>23</v>
      </c>
    </row>
    <row r="23" spans="1:18" x14ac:dyDescent="0.25">
      <c r="A23" s="2" t="s">
        <v>18</v>
      </c>
      <c r="B23" s="2" t="s">
        <v>19</v>
      </c>
      <c r="C23" s="2" t="s">
        <v>56</v>
      </c>
      <c r="D23" s="2" t="s">
        <v>21</v>
      </c>
      <c r="E23" s="3" t="b">
        <f>TRUE()</f>
        <v>1</v>
      </c>
      <c r="F23" s="4"/>
      <c r="G23" s="4">
        <v>46347</v>
      </c>
      <c r="H23" s="4">
        <v>46377</v>
      </c>
      <c r="I23" s="4">
        <v>46377</v>
      </c>
      <c r="J23" s="2" t="s">
        <v>57</v>
      </c>
      <c r="K23" s="2" t="s">
        <v>23</v>
      </c>
      <c r="L23" s="5">
        <v>0</v>
      </c>
      <c r="M23" s="3" t="b">
        <f>FALSE()</f>
        <v>0</v>
      </c>
      <c r="N23" s="5">
        <v>75</v>
      </c>
      <c r="O23" s="2" t="s">
        <v>24</v>
      </c>
      <c r="P23" s="2" t="s">
        <v>25</v>
      </c>
      <c r="Q23" s="2" t="s">
        <v>57</v>
      </c>
      <c r="R23" s="2" t="s">
        <v>23</v>
      </c>
    </row>
    <row r="24" spans="1:18" x14ac:dyDescent="0.25">
      <c r="A24" s="2" t="s">
        <v>18</v>
      </c>
      <c r="B24" s="2" t="s">
        <v>19</v>
      </c>
      <c r="C24" s="2" t="s">
        <v>58</v>
      </c>
      <c r="D24" s="2" t="s">
        <v>21</v>
      </c>
      <c r="E24" s="3" t="b">
        <f>TRUE()</f>
        <v>1</v>
      </c>
      <c r="F24" s="4"/>
      <c r="G24" s="4">
        <v>46328</v>
      </c>
      <c r="H24" s="4">
        <v>46358</v>
      </c>
      <c r="I24" s="4">
        <v>46358</v>
      </c>
      <c r="J24" s="2" t="s">
        <v>59</v>
      </c>
      <c r="K24" s="2" t="s">
        <v>23</v>
      </c>
      <c r="L24" s="5">
        <v>0</v>
      </c>
      <c r="M24" s="3" t="b">
        <f>FALSE()</f>
        <v>0</v>
      </c>
      <c r="N24" s="5">
        <v>25</v>
      </c>
      <c r="O24" s="2" t="s">
        <v>24</v>
      </c>
      <c r="P24" s="2" t="s">
        <v>25</v>
      </c>
      <c r="Q24" s="2" t="s">
        <v>59</v>
      </c>
      <c r="R24" s="2" t="s">
        <v>23</v>
      </c>
    </row>
    <row r="25" spans="1:18" x14ac:dyDescent="0.25">
      <c r="A25" s="2" t="s">
        <v>18</v>
      </c>
      <c r="B25" s="2" t="s">
        <v>19</v>
      </c>
      <c r="C25" s="2" t="s">
        <v>60</v>
      </c>
      <c r="D25" s="2" t="s">
        <v>21</v>
      </c>
      <c r="E25" s="3" t="b">
        <f>TRUE()</f>
        <v>1</v>
      </c>
      <c r="F25" s="4"/>
      <c r="G25" s="4">
        <v>46350</v>
      </c>
      <c r="H25" s="4">
        <v>46380</v>
      </c>
      <c r="I25" s="4">
        <v>46380</v>
      </c>
      <c r="J25" s="2" t="s">
        <v>61</v>
      </c>
      <c r="K25" s="2" t="s">
        <v>23</v>
      </c>
      <c r="L25" s="5">
        <v>0</v>
      </c>
      <c r="M25" s="3" t="b">
        <f>FALSE()</f>
        <v>0</v>
      </c>
      <c r="N25" s="5">
        <v>10</v>
      </c>
      <c r="O25" s="2" t="s">
        <v>24</v>
      </c>
      <c r="P25" s="2" t="s">
        <v>62</v>
      </c>
      <c r="Q25" s="2" t="s">
        <v>61</v>
      </c>
      <c r="R25" s="2" t="s">
        <v>23</v>
      </c>
    </row>
    <row r="26" spans="1:18" x14ac:dyDescent="0.25">
      <c r="A26" s="2" t="s">
        <v>18</v>
      </c>
      <c r="B26" s="2" t="s">
        <v>19</v>
      </c>
      <c r="C26" s="2" t="s">
        <v>63</v>
      </c>
      <c r="D26" s="2" t="s">
        <v>21</v>
      </c>
      <c r="E26" s="3" t="b">
        <f>TRUE()</f>
        <v>1</v>
      </c>
      <c r="F26" s="4"/>
      <c r="G26" s="4">
        <v>46166</v>
      </c>
      <c r="H26" s="4">
        <v>46196</v>
      </c>
      <c r="I26" s="4">
        <v>46196</v>
      </c>
      <c r="J26" s="2" t="s">
        <v>64</v>
      </c>
      <c r="K26" s="2" t="s">
        <v>23</v>
      </c>
      <c r="L26" s="5">
        <v>0</v>
      </c>
      <c r="M26" s="3" t="b">
        <f>FALSE()</f>
        <v>0</v>
      </c>
      <c r="N26" s="5">
        <v>225</v>
      </c>
      <c r="O26" s="2" t="s">
        <v>24</v>
      </c>
      <c r="P26" s="2" t="s">
        <v>25</v>
      </c>
      <c r="Q26" s="2" t="s">
        <v>64</v>
      </c>
      <c r="R26" s="2" t="s">
        <v>23</v>
      </c>
    </row>
    <row r="27" spans="1:18" x14ac:dyDescent="0.25">
      <c r="A27" s="2" t="s">
        <v>18</v>
      </c>
      <c r="B27" s="2" t="s">
        <v>19</v>
      </c>
      <c r="C27" s="2" t="s">
        <v>63</v>
      </c>
      <c r="D27" s="2" t="s">
        <v>21</v>
      </c>
      <c r="E27" s="3" t="b">
        <f>TRUE()</f>
        <v>1</v>
      </c>
      <c r="F27" s="4"/>
      <c r="G27" s="4">
        <v>46344</v>
      </c>
      <c r="H27" s="4">
        <v>46374</v>
      </c>
      <c r="I27" s="4">
        <v>46374</v>
      </c>
      <c r="J27" s="2" t="s">
        <v>64</v>
      </c>
      <c r="K27" s="2" t="s">
        <v>23</v>
      </c>
      <c r="L27" s="5">
        <v>0</v>
      </c>
      <c r="M27" s="3" t="b">
        <f>FALSE()</f>
        <v>0</v>
      </c>
      <c r="N27" s="5">
        <v>675</v>
      </c>
      <c r="O27" s="2" t="s">
        <v>24</v>
      </c>
      <c r="P27" s="2" t="s">
        <v>25</v>
      </c>
      <c r="Q27" s="2" t="s">
        <v>64</v>
      </c>
      <c r="R27" s="2" t="s">
        <v>23</v>
      </c>
    </row>
    <row r="28" spans="1:18" x14ac:dyDescent="0.25">
      <c r="A28" s="2" t="s">
        <v>18</v>
      </c>
      <c r="B28" s="2" t="s">
        <v>19</v>
      </c>
      <c r="C28" s="2" t="s">
        <v>65</v>
      </c>
      <c r="D28" s="2" t="s">
        <v>21</v>
      </c>
      <c r="E28" s="3" t="b">
        <f>TRUE()</f>
        <v>1</v>
      </c>
      <c r="F28" s="4"/>
      <c r="G28" s="4">
        <v>46322</v>
      </c>
      <c r="H28" s="4">
        <v>46352</v>
      </c>
      <c r="I28" s="4">
        <v>46352</v>
      </c>
      <c r="J28" s="2" t="s">
        <v>66</v>
      </c>
      <c r="K28" s="2" t="s">
        <v>23</v>
      </c>
      <c r="L28" s="5">
        <v>0</v>
      </c>
      <c r="M28" s="3" t="b">
        <f>FALSE()</f>
        <v>0</v>
      </c>
      <c r="N28" s="5">
        <v>500</v>
      </c>
      <c r="O28" s="2" t="s">
        <v>24</v>
      </c>
      <c r="P28" s="2" t="s">
        <v>25</v>
      </c>
      <c r="Q28" s="2" t="s">
        <v>66</v>
      </c>
      <c r="R28" s="2" t="s">
        <v>23</v>
      </c>
    </row>
    <row r="29" spans="1:18" x14ac:dyDescent="0.25">
      <c r="A29" s="2" t="s">
        <v>18</v>
      </c>
      <c r="B29" s="2" t="s">
        <v>19</v>
      </c>
      <c r="C29" s="2" t="s">
        <v>65</v>
      </c>
      <c r="D29" s="2" t="s">
        <v>21</v>
      </c>
      <c r="E29" s="3" t="b">
        <f>TRUE()</f>
        <v>1</v>
      </c>
      <c r="F29" s="4"/>
      <c r="G29" s="4">
        <v>46322</v>
      </c>
      <c r="H29" s="4">
        <v>46352</v>
      </c>
      <c r="I29" s="4">
        <v>46352</v>
      </c>
      <c r="J29" s="2" t="s">
        <v>66</v>
      </c>
      <c r="K29" s="2" t="s">
        <v>23</v>
      </c>
      <c r="L29" s="5">
        <v>0</v>
      </c>
      <c r="M29" s="3" t="b">
        <f>FALSE()</f>
        <v>0</v>
      </c>
      <c r="N29" s="5">
        <v>100</v>
      </c>
      <c r="O29" s="2" t="s">
        <v>24</v>
      </c>
      <c r="P29" s="2" t="s">
        <v>25</v>
      </c>
      <c r="Q29" s="2" t="s">
        <v>66</v>
      </c>
      <c r="R29" s="2" t="s">
        <v>23</v>
      </c>
    </row>
    <row r="30" spans="1:18" x14ac:dyDescent="0.25">
      <c r="A30" s="2" t="s">
        <v>18</v>
      </c>
      <c r="B30" s="2" t="s">
        <v>19</v>
      </c>
      <c r="C30" s="2" t="s">
        <v>67</v>
      </c>
      <c r="D30" s="2" t="s">
        <v>21</v>
      </c>
      <c r="E30" s="3" t="b">
        <f>TRUE()</f>
        <v>1</v>
      </c>
      <c r="F30" s="4"/>
      <c r="G30" s="4">
        <v>46322</v>
      </c>
      <c r="H30" s="4">
        <v>46352</v>
      </c>
      <c r="I30" s="4">
        <v>46352</v>
      </c>
      <c r="J30" s="2" t="s">
        <v>68</v>
      </c>
      <c r="K30" s="2" t="s">
        <v>23</v>
      </c>
      <c r="L30" s="5">
        <v>0</v>
      </c>
      <c r="M30" s="3" t="b">
        <f>FALSE()</f>
        <v>0</v>
      </c>
      <c r="N30" s="5">
        <v>375</v>
      </c>
      <c r="O30" s="2" t="s">
        <v>24</v>
      </c>
      <c r="P30" s="2" t="s">
        <v>25</v>
      </c>
      <c r="Q30" s="2" t="s">
        <v>68</v>
      </c>
      <c r="R30" s="2" t="s">
        <v>23</v>
      </c>
    </row>
    <row r="31" spans="1:18" x14ac:dyDescent="0.25">
      <c r="A31" s="2" t="s">
        <v>18</v>
      </c>
      <c r="B31" s="2" t="s">
        <v>19</v>
      </c>
      <c r="C31" s="2" t="s">
        <v>69</v>
      </c>
      <c r="D31" s="2" t="s">
        <v>21</v>
      </c>
      <c r="E31" s="3" t="b">
        <f>TRUE()</f>
        <v>1</v>
      </c>
      <c r="F31" s="4"/>
      <c r="G31" s="4">
        <v>46322</v>
      </c>
      <c r="H31" s="4">
        <v>46352</v>
      </c>
      <c r="I31" s="4">
        <v>46352</v>
      </c>
      <c r="J31" s="2" t="s">
        <v>70</v>
      </c>
      <c r="K31" s="2" t="s">
        <v>23</v>
      </c>
      <c r="L31" s="5">
        <v>0</v>
      </c>
      <c r="M31" s="3" t="b">
        <f>FALSE()</f>
        <v>0</v>
      </c>
      <c r="N31" s="5">
        <v>275</v>
      </c>
      <c r="O31" s="2" t="s">
        <v>24</v>
      </c>
      <c r="P31" s="2" t="s">
        <v>25</v>
      </c>
      <c r="Q31" s="2" t="s">
        <v>70</v>
      </c>
      <c r="R31" s="2" t="s">
        <v>23</v>
      </c>
    </row>
    <row r="32" spans="1:18" x14ac:dyDescent="0.25">
      <c r="A32" s="2" t="s">
        <v>18</v>
      </c>
      <c r="B32" s="2" t="s">
        <v>19</v>
      </c>
      <c r="C32" s="2" t="s">
        <v>71</v>
      </c>
      <c r="D32" s="2" t="s">
        <v>21</v>
      </c>
      <c r="E32" s="3" t="b">
        <f>TRUE()</f>
        <v>1</v>
      </c>
      <c r="F32" s="4"/>
      <c r="G32" s="4">
        <v>46348</v>
      </c>
      <c r="H32" s="4">
        <v>46378</v>
      </c>
      <c r="I32" s="4">
        <v>46378</v>
      </c>
      <c r="J32" s="2" t="s">
        <v>72</v>
      </c>
      <c r="K32" s="2" t="s">
        <v>23</v>
      </c>
      <c r="L32" s="5">
        <v>0</v>
      </c>
      <c r="M32" s="3" t="b">
        <f>FALSE()</f>
        <v>0</v>
      </c>
      <c r="N32" s="5">
        <v>675</v>
      </c>
      <c r="O32" s="2" t="s">
        <v>24</v>
      </c>
      <c r="P32" s="2" t="s">
        <v>55</v>
      </c>
      <c r="Q32" s="2" t="s">
        <v>72</v>
      </c>
      <c r="R32" s="2" t="s">
        <v>23</v>
      </c>
    </row>
    <row r="33" spans="1:18" x14ac:dyDescent="0.25">
      <c r="A33" s="2" t="s">
        <v>18</v>
      </c>
      <c r="B33" s="2" t="s">
        <v>19</v>
      </c>
      <c r="C33" s="2" t="s">
        <v>73</v>
      </c>
      <c r="D33" s="2" t="s">
        <v>21</v>
      </c>
      <c r="E33" s="3" t="b">
        <f>TRUE()</f>
        <v>1</v>
      </c>
      <c r="F33" s="4"/>
      <c r="G33" s="4">
        <v>46348</v>
      </c>
      <c r="H33" s="4">
        <v>46378</v>
      </c>
      <c r="I33" s="4">
        <v>46378</v>
      </c>
      <c r="J33" s="2" t="s">
        <v>74</v>
      </c>
      <c r="K33" s="2" t="s">
        <v>23</v>
      </c>
      <c r="L33" s="5">
        <v>0</v>
      </c>
      <c r="M33" s="3" t="b">
        <f>FALSE()</f>
        <v>0</v>
      </c>
      <c r="N33" s="5">
        <v>175</v>
      </c>
      <c r="O33" s="2" t="s">
        <v>24</v>
      </c>
      <c r="P33" s="2" t="s">
        <v>55</v>
      </c>
      <c r="Q33" s="2" t="s">
        <v>74</v>
      </c>
      <c r="R33" s="2" t="s">
        <v>23</v>
      </c>
    </row>
    <row r="34" spans="1:18" x14ac:dyDescent="0.25">
      <c r="A34" s="2" t="s">
        <v>18</v>
      </c>
      <c r="B34" s="2" t="s">
        <v>19</v>
      </c>
      <c r="C34" s="2" t="s">
        <v>75</v>
      </c>
      <c r="D34" s="2" t="s">
        <v>21</v>
      </c>
      <c r="E34" s="3" t="b">
        <f>TRUE()</f>
        <v>1</v>
      </c>
      <c r="F34" s="4"/>
      <c r="G34" s="4">
        <v>46348</v>
      </c>
      <c r="H34" s="4">
        <v>46378</v>
      </c>
      <c r="I34" s="4">
        <v>46378</v>
      </c>
      <c r="J34" s="2" t="s">
        <v>76</v>
      </c>
      <c r="K34" s="2" t="s">
        <v>23</v>
      </c>
      <c r="L34" s="5">
        <v>0</v>
      </c>
      <c r="M34" s="3" t="b">
        <f>FALSE()</f>
        <v>0</v>
      </c>
      <c r="N34" s="5">
        <v>25</v>
      </c>
      <c r="O34" s="2" t="s">
        <v>24</v>
      </c>
      <c r="P34" s="2" t="s">
        <v>25</v>
      </c>
      <c r="Q34" s="2" t="s">
        <v>76</v>
      </c>
      <c r="R34" s="2" t="s">
        <v>23</v>
      </c>
    </row>
    <row r="35" spans="1:18" x14ac:dyDescent="0.25">
      <c r="A35" s="2" t="s">
        <v>18</v>
      </c>
      <c r="B35" s="2" t="s">
        <v>19</v>
      </c>
      <c r="C35" s="2" t="s">
        <v>77</v>
      </c>
      <c r="D35" s="2" t="s">
        <v>21</v>
      </c>
      <c r="E35" s="3" t="b">
        <f>TRUE()</f>
        <v>1</v>
      </c>
      <c r="F35" s="4"/>
      <c r="G35" s="4">
        <v>46348</v>
      </c>
      <c r="H35" s="4">
        <v>46378</v>
      </c>
      <c r="I35" s="4">
        <v>46378</v>
      </c>
      <c r="J35" s="2" t="s">
        <v>78</v>
      </c>
      <c r="K35" s="2" t="s">
        <v>23</v>
      </c>
      <c r="L35" s="5">
        <v>0</v>
      </c>
      <c r="M35" s="3" t="b">
        <f>FALSE()</f>
        <v>0</v>
      </c>
      <c r="N35" s="5">
        <v>25</v>
      </c>
      <c r="O35" s="2" t="s">
        <v>24</v>
      </c>
      <c r="P35" s="2" t="s">
        <v>25</v>
      </c>
      <c r="Q35" s="2" t="s">
        <v>78</v>
      </c>
      <c r="R35" s="2" t="s">
        <v>23</v>
      </c>
    </row>
    <row r="36" spans="1:18" x14ac:dyDescent="0.25">
      <c r="A36" s="2" t="s">
        <v>18</v>
      </c>
      <c r="B36" s="2" t="s">
        <v>19</v>
      </c>
      <c r="C36" s="2" t="s">
        <v>79</v>
      </c>
      <c r="D36" s="2" t="s">
        <v>21</v>
      </c>
      <c r="E36" s="3" t="b">
        <f>TRUE()</f>
        <v>1</v>
      </c>
      <c r="F36" s="4"/>
      <c r="G36" s="4">
        <v>46348</v>
      </c>
      <c r="H36" s="4">
        <v>46378</v>
      </c>
      <c r="I36" s="4">
        <v>46378</v>
      </c>
      <c r="J36" s="2" t="s">
        <v>80</v>
      </c>
      <c r="K36" s="2" t="s">
        <v>23</v>
      </c>
      <c r="L36" s="5">
        <v>0</v>
      </c>
      <c r="M36" s="3" t="b">
        <f>FALSE()</f>
        <v>0</v>
      </c>
      <c r="N36" s="5">
        <v>25</v>
      </c>
      <c r="O36" s="2" t="s">
        <v>24</v>
      </c>
      <c r="P36" s="2" t="s">
        <v>25</v>
      </c>
      <c r="Q36" s="2" t="s">
        <v>80</v>
      </c>
      <c r="R36" s="2" t="s">
        <v>23</v>
      </c>
    </row>
    <row r="37" spans="1:18" x14ac:dyDescent="0.25">
      <c r="A37" s="2" t="s">
        <v>18</v>
      </c>
      <c r="B37" s="2" t="s">
        <v>19</v>
      </c>
      <c r="C37" s="2" t="s">
        <v>81</v>
      </c>
      <c r="D37" s="2" t="s">
        <v>21</v>
      </c>
      <c r="E37" s="3" t="b">
        <f>TRUE()</f>
        <v>1</v>
      </c>
      <c r="F37" s="4"/>
      <c r="G37" s="4">
        <v>46348</v>
      </c>
      <c r="H37" s="4">
        <v>46378</v>
      </c>
      <c r="I37" s="4">
        <v>46378</v>
      </c>
      <c r="J37" s="2" t="s">
        <v>82</v>
      </c>
      <c r="K37" s="2" t="s">
        <v>23</v>
      </c>
      <c r="L37" s="5">
        <v>0</v>
      </c>
      <c r="M37" s="3" t="b">
        <f>FALSE()</f>
        <v>0</v>
      </c>
      <c r="N37" s="5">
        <v>25</v>
      </c>
      <c r="O37" s="2" t="s">
        <v>24</v>
      </c>
      <c r="P37" s="2" t="s">
        <v>25</v>
      </c>
      <c r="Q37" s="2" t="s">
        <v>82</v>
      </c>
      <c r="R37" s="2" t="s">
        <v>23</v>
      </c>
    </row>
    <row r="38" spans="1:18" x14ac:dyDescent="0.25">
      <c r="A38" s="2" t="s">
        <v>18</v>
      </c>
      <c r="B38" s="2" t="s">
        <v>19</v>
      </c>
      <c r="C38" s="2" t="s">
        <v>83</v>
      </c>
      <c r="D38" s="2" t="s">
        <v>21</v>
      </c>
      <c r="E38" s="3" t="b">
        <f>TRUE()</f>
        <v>1</v>
      </c>
      <c r="F38" s="4"/>
      <c r="G38" s="4">
        <v>46348</v>
      </c>
      <c r="H38" s="4">
        <v>46378</v>
      </c>
      <c r="I38" s="4">
        <v>46378</v>
      </c>
      <c r="J38" s="2" t="s">
        <v>84</v>
      </c>
      <c r="K38" s="2" t="s">
        <v>23</v>
      </c>
      <c r="L38" s="5">
        <v>0</v>
      </c>
      <c r="M38" s="3" t="b">
        <f>FALSE()</f>
        <v>0</v>
      </c>
      <c r="N38" s="5">
        <v>25</v>
      </c>
      <c r="O38" s="2" t="s">
        <v>24</v>
      </c>
      <c r="P38" s="2" t="s">
        <v>25</v>
      </c>
      <c r="Q38" s="2" t="s">
        <v>84</v>
      </c>
      <c r="R38" s="2" t="s">
        <v>23</v>
      </c>
    </row>
    <row r="39" spans="1:18" x14ac:dyDescent="0.25">
      <c r="A39" s="2" t="s">
        <v>18</v>
      </c>
      <c r="B39" s="2" t="s">
        <v>19</v>
      </c>
      <c r="C39" s="2" t="s">
        <v>85</v>
      </c>
      <c r="D39" s="2" t="s">
        <v>21</v>
      </c>
      <c r="E39" s="3" t="b">
        <f>TRUE()</f>
        <v>1</v>
      </c>
      <c r="F39" s="4"/>
      <c r="G39" s="4">
        <v>46347</v>
      </c>
      <c r="H39" s="4">
        <v>46377</v>
      </c>
      <c r="I39" s="4">
        <v>46377</v>
      </c>
      <c r="J39" s="2" t="s">
        <v>86</v>
      </c>
      <c r="K39" s="2" t="s">
        <v>23</v>
      </c>
      <c r="L39" s="5">
        <v>0</v>
      </c>
      <c r="M39" s="3" t="b">
        <f>FALSE()</f>
        <v>0</v>
      </c>
      <c r="N39" s="5">
        <v>75</v>
      </c>
      <c r="O39" s="2" t="s">
        <v>24</v>
      </c>
      <c r="P39" s="2" t="s">
        <v>25</v>
      </c>
      <c r="Q39" s="2" t="s">
        <v>86</v>
      </c>
      <c r="R39" s="2" t="s">
        <v>23</v>
      </c>
    </row>
    <row r="40" spans="1:18" x14ac:dyDescent="0.25">
      <c r="A40" s="2" t="s">
        <v>18</v>
      </c>
      <c r="B40" s="2" t="s">
        <v>19</v>
      </c>
      <c r="C40" s="2" t="s">
        <v>85</v>
      </c>
      <c r="D40" s="2" t="s">
        <v>21</v>
      </c>
      <c r="E40" s="3" t="b">
        <f>TRUE()</f>
        <v>1</v>
      </c>
      <c r="F40" s="4"/>
      <c r="G40" s="4">
        <v>46348</v>
      </c>
      <c r="H40" s="4">
        <v>46378</v>
      </c>
      <c r="I40" s="4">
        <v>46378</v>
      </c>
      <c r="J40" s="2" t="s">
        <v>86</v>
      </c>
      <c r="K40" s="2" t="s">
        <v>23</v>
      </c>
      <c r="L40" s="5">
        <v>0</v>
      </c>
      <c r="M40" s="3" t="b">
        <f>FALSE()</f>
        <v>0</v>
      </c>
      <c r="N40" s="5">
        <v>75</v>
      </c>
      <c r="O40" s="2" t="s">
        <v>24</v>
      </c>
      <c r="P40" s="2" t="s">
        <v>25</v>
      </c>
      <c r="Q40" s="2" t="s">
        <v>86</v>
      </c>
      <c r="R40" s="2" t="s">
        <v>23</v>
      </c>
    </row>
    <row r="41" spans="1:18" x14ac:dyDescent="0.25">
      <c r="A41" s="2" t="s">
        <v>18</v>
      </c>
      <c r="B41" s="2" t="s">
        <v>19</v>
      </c>
      <c r="C41" s="2" t="s">
        <v>87</v>
      </c>
      <c r="D41" s="2" t="s">
        <v>21</v>
      </c>
      <c r="E41" s="3" t="b">
        <f>TRUE()</f>
        <v>1</v>
      </c>
      <c r="F41" s="4"/>
      <c r="G41" s="4">
        <v>46354</v>
      </c>
      <c r="H41" s="4">
        <v>46384</v>
      </c>
      <c r="I41" s="4">
        <v>46384</v>
      </c>
      <c r="J41" s="2" t="s">
        <v>88</v>
      </c>
      <c r="K41" s="2" t="s">
        <v>23</v>
      </c>
      <c r="L41" s="5">
        <v>0</v>
      </c>
      <c r="M41" s="3" t="b">
        <f>FALSE()</f>
        <v>0</v>
      </c>
      <c r="N41" s="5">
        <v>50</v>
      </c>
      <c r="O41" s="2" t="s">
        <v>24</v>
      </c>
      <c r="P41" s="2" t="s">
        <v>25</v>
      </c>
      <c r="Q41" s="2" t="s">
        <v>88</v>
      </c>
      <c r="R41" s="2" t="s">
        <v>23</v>
      </c>
    </row>
    <row r="42" spans="1:18" x14ac:dyDescent="0.25">
      <c r="A42" s="2" t="s">
        <v>18</v>
      </c>
      <c r="B42" s="2" t="s">
        <v>19</v>
      </c>
      <c r="C42" s="2" t="s">
        <v>89</v>
      </c>
      <c r="D42" s="2" t="s">
        <v>21</v>
      </c>
      <c r="E42" s="3" t="b">
        <f>TRUE()</f>
        <v>1</v>
      </c>
      <c r="F42" s="4"/>
      <c r="G42" s="4">
        <v>46347</v>
      </c>
      <c r="H42" s="4">
        <v>46377</v>
      </c>
      <c r="I42" s="4">
        <v>46377</v>
      </c>
      <c r="J42" s="2" t="s">
        <v>90</v>
      </c>
      <c r="K42" s="2" t="s">
        <v>23</v>
      </c>
      <c r="L42" s="5">
        <v>0</v>
      </c>
      <c r="M42" s="3" t="b">
        <f>FALSE()</f>
        <v>0</v>
      </c>
      <c r="N42" s="5">
        <v>775</v>
      </c>
      <c r="O42" s="2" t="s">
        <v>24</v>
      </c>
      <c r="P42" s="2" t="s">
        <v>55</v>
      </c>
      <c r="Q42" s="2" t="s">
        <v>90</v>
      </c>
      <c r="R42" s="2" t="s">
        <v>23</v>
      </c>
    </row>
    <row r="43" spans="1:18" x14ac:dyDescent="0.25">
      <c r="A43" s="2" t="s">
        <v>18</v>
      </c>
      <c r="B43" s="2" t="s">
        <v>19</v>
      </c>
      <c r="C43" s="2" t="s">
        <v>91</v>
      </c>
      <c r="D43" s="2" t="s">
        <v>21</v>
      </c>
      <c r="E43" s="3" t="b">
        <f>TRUE()</f>
        <v>1</v>
      </c>
      <c r="F43" s="4"/>
      <c r="G43" s="4">
        <v>46347</v>
      </c>
      <c r="H43" s="4">
        <v>46377</v>
      </c>
      <c r="I43" s="4">
        <v>46377</v>
      </c>
      <c r="J43" s="2" t="s">
        <v>92</v>
      </c>
      <c r="K43" s="2" t="s">
        <v>23</v>
      </c>
      <c r="L43" s="5">
        <v>0</v>
      </c>
      <c r="M43" s="3" t="b">
        <f>FALSE()</f>
        <v>0</v>
      </c>
      <c r="N43" s="5">
        <v>25</v>
      </c>
      <c r="O43" s="2" t="s">
        <v>24</v>
      </c>
      <c r="P43" s="2" t="s">
        <v>93</v>
      </c>
      <c r="Q43" s="2" t="s">
        <v>92</v>
      </c>
      <c r="R43" s="2" t="s">
        <v>23</v>
      </c>
    </row>
    <row r="44" spans="1:18" x14ac:dyDescent="0.25">
      <c r="A44" s="2" t="s">
        <v>18</v>
      </c>
      <c r="B44" s="2" t="s">
        <v>19</v>
      </c>
      <c r="C44" s="2" t="s">
        <v>94</v>
      </c>
      <c r="D44" s="2" t="s">
        <v>21</v>
      </c>
      <c r="E44" s="3" t="b">
        <f>TRUE()</f>
        <v>1</v>
      </c>
      <c r="F44" s="4"/>
      <c r="G44" s="4">
        <v>46354</v>
      </c>
      <c r="H44" s="4">
        <v>46384</v>
      </c>
      <c r="I44" s="4">
        <v>46384</v>
      </c>
      <c r="J44" s="2" t="s">
        <v>95</v>
      </c>
      <c r="K44" s="2" t="s">
        <v>23</v>
      </c>
      <c r="L44" s="5">
        <v>0</v>
      </c>
      <c r="M44" s="3" t="b">
        <f>FALSE()</f>
        <v>0</v>
      </c>
      <c r="N44" s="5">
        <v>25</v>
      </c>
      <c r="O44" s="2" t="s">
        <v>24</v>
      </c>
      <c r="P44" s="2" t="s">
        <v>25</v>
      </c>
      <c r="Q44" s="2" t="s">
        <v>95</v>
      </c>
      <c r="R44" s="2" t="s">
        <v>23</v>
      </c>
    </row>
    <row r="45" spans="1:18" x14ac:dyDescent="0.25">
      <c r="A45" s="2" t="s">
        <v>18</v>
      </c>
      <c r="B45" s="2" t="s">
        <v>19</v>
      </c>
      <c r="C45" s="2" t="s">
        <v>96</v>
      </c>
      <c r="D45" s="2" t="s">
        <v>21</v>
      </c>
      <c r="E45" s="3" t="b">
        <f>TRUE()</f>
        <v>1</v>
      </c>
      <c r="F45" s="4"/>
      <c r="G45" s="4">
        <v>46139</v>
      </c>
      <c r="H45" s="4">
        <v>46169</v>
      </c>
      <c r="I45" s="4">
        <v>46169</v>
      </c>
      <c r="J45" s="2" t="s">
        <v>97</v>
      </c>
      <c r="K45" s="2" t="s">
        <v>23</v>
      </c>
      <c r="L45" s="5">
        <v>0</v>
      </c>
      <c r="M45" s="3" t="b">
        <f>FALSE()</f>
        <v>0</v>
      </c>
      <c r="N45" s="5">
        <v>25</v>
      </c>
      <c r="O45" s="2" t="s">
        <v>24</v>
      </c>
      <c r="P45" s="2" t="s">
        <v>62</v>
      </c>
      <c r="Q45" s="2" t="s">
        <v>97</v>
      </c>
      <c r="R45" s="2" t="s">
        <v>23</v>
      </c>
    </row>
    <row r="46" spans="1:18" x14ac:dyDescent="0.25">
      <c r="A46" s="2" t="s">
        <v>18</v>
      </c>
      <c r="B46" s="2" t="s">
        <v>19</v>
      </c>
      <c r="C46" s="2" t="s">
        <v>96</v>
      </c>
      <c r="D46" s="2" t="s">
        <v>21</v>
      </c>
      <c r="E46" s="3" t="b">
        <f>TRUE()</f>
        <v>1</v>
      </c>
      <c r="F46" s="4"/>
      <c r="G46" s="4">
        <v>46350</v>
      </c>
      <c r="H46" s="4">
        <v>46380</v>
      </c>
      <c r="I46" s="4">
        <v>46380</v>
      </c>
      <c r="J46" s="2" t="s">
        <v>97</v>
      </c>
      <c r="K46" s="2" t="s">
        <v>23</v>
      </c>
      <c r="L46" s="5">
        <v>0</v>
      </c>
      <c r="M46" s="3" t="b">
        <f>FALSE()</f>
        <v>0</v>
      </c>
      <c r="N46" s="5">
        <v>100</v>
      </c>
      <c r="O46" s="2" t="s">
        <v>24</v>
      </c>
      <c r="P46" s="2" t="s">
        <v>62</v>
      </c>
      <c r="Q46" s="2" t="s">
        <v>97</v>
      </c>
      <c r="R46" s="2" t="s">
        <v>23</v>
      </c>
    </row>
    <row r="47" spans="1:18" x14ac:dyDescent="0.25">
      <c r="A47" s="2" t="s">
        <v>18</v>
      </c>
      <c r="B47" s="2" t="s">
        <v>19</v>
      </c>
      <c r="C47" s="2" t="s">
        <v>98</v>
      </c>
      <c r="D47" s="2" t="s">
        <v>21</v>
      </c>
      <c r="E47" s="3" t="b">
        <f>TRUE()</f>
        <v>1</v>
      </c>
      <c r="F47" s="4"/>
      <c r="G47" s="4">
        <v>46351</v>
      </c>
      <c r="H47" s="4">
        <v>46381</v>
      </c>
      <c r="I47" s="4">
        <v>46381</v>
      </c>
      <c r="J47" s="2" t="s">
        <v>99</v>
      </c>
      <c r="K47" s="2" t="s">
        <v>23</v>
      </c>
      <c r="L47" s="5">
        <v>0</v>
      </c>
      <c r="M47" s="3" t="b">
        <f>FALSE()</f>
        <v>0</v>
      </c>
      <c r="N47" s="5">
        <v>75</v>
      </c>
      <c r="O47" s="2" t="s">
        <v>24</v>
      </c>
      <c r="P47" s="2" t="s">
        <v>25</v>
      </c>
      <c r="Q47" s="2" t="s">
        <v>99</v>
      </c>
      <c r="R47" s="2" t="s">
        <v>23</v>
      </c>
    </row>
    <row r="48" spans="1:18" x14ac:dyDescent="0.25">
      <c r="A48" s="2" t="s">
        <v>18</v>
      </c>
      <c r="B48" s="2" t="s">
        <v>19</v>
      </c>
      <c r="C48" s="2" t="s">
        <v>100</v>
      </c>
      <c r="D48" s="2" t="s">
        <v>21</v>
      </c>
      <c r="E48" s="3" t="b">
        <f>TRUE()</f>
        <v>1</v>
      </c>
      <c r="F48" s="4"/>
      <c r="G48" s="4">
        <v>46377</v>
      </c>
      <c r="H48" s="4">
        <v>46377</v>
      </c>
      <c r="I48" s="4">
        <v>46377</v>
      </c>
      <c r="J48" s="2" t="s">
        <v>101</v>
      </c>
      <c r="K48" s="2" t="s">
        <v>23</v>
      </c>
      <c r="L48" s="5">
        <v>0</v>
      </c>
      <c r="M48" s="3" t="b">
        <f>FALSE()</f>
        <v>0</v>
      </c>
      <c r="N48" s="5">
        <v>25</v>
      </c>
      <c r="O48" s="2" t="s">
        <v>24</v>
      </c>
      <c r="P48" s="2" t="s">
        <v>102</v>
      </c>
      <c r="Q48" s="2" t="s">
        <v>101</v>
      </c>
      <c r="R48" s="2" t="s">
        <v>23</v>
      </c>
    </row>
    <row r="49" spans="1:18" x14ac:dyDescent="0.25">
      <c r="A49" s="2" t="s">
        <v>18</v>
      </c>
      <c r="B49" s="2" t="s">
        <v>19</v>
      </c>
      <c r="C49" s="2" t="s">
        <v>103</v>
      </c>
      <c r="D49" s="2" t="s">
        <v>21</v>
      </c>
      <c r="E49" s="3" t="b">
        <f>TRUE()</f>
        <v>1</v>
      </c>
      <c r="F49" s="4"/>
      <c r="G49" s="4">
        <v>46351</v>
      </c>
      <c r="H49" s="4">
        <v>46381</v>
      </c>
      <c r="I49" s="4">
        <v>46381</v>
      </c>
      <c r="J49" s="2" t="s">
        <v>104</v>
      </c>
      <c r="K49" s="2" t="s">
        <v>23</v>
      </c>
      <c r="L49" s="5">
        <v>0</v>
      </c>
      <c r="M49" s="3" t="b">
        <f>FALSE()</f>
        <v>0</v>
      </c>
      <c r="N49" s="5">
        <v>25</v>
      </c>
      <c r="O49" s="2" t="s">
        <v>24</v>
      </c>
      <c r="P49" s="2" t="s">
        <v>25</v>
      </c>
      <c r="Q49" s="2" t="s">
        <v>104</v>
      </c>
      <c r="R49" s="2" t="s">
        <v>23</v>
      </c>
    </row>
    <row r="50" spans="1:18" x14ac:dyDescent="0.25">
      <c r="A50" s="2" t="s">
        <v>18</v>
      </c>
      <c r="B50" s="2" t="s">
        <v>19</v>
      </c>
      <c r="C50" s="2" t="s">
        <v>105</v>
      </c>
      <c r="D50" s="2" t="s">
        <v>21</v>
      </c>
      <c r="E50" s="3" t="b">
        <f>TRUE()</f>
        <v>1</v>
      </c>
      <c r="F50" s="4"/>
      <c r="G50" s="4">
        <v>46351</v>
      </c>
      <c r="H50" s="4">
        <v>46381</v>
      </c>
      <c r="I50" s="4">
        <v>46381</v>
      </c>
      <c r="J50" s="2" t="s">
        <v>106</v>
      </c>
      <c r="K50" s="2" t="s">
        <v>23</v>
      </c>
      <c r="L50" s="5">
        <v>0</v>
      </c>
      <c r="M50" s="3" t="b">
        <f>FALSE()</f>
        <v>0</v>
      </c>
      <c r="N50" s="5">
        <v>150</v>
      </c>
      <c r="O50" s="2" t="s">
        <v>24</v>
      </c>
      <c r="P50" s="2" t="s">
        <v>25</v>
      </c>
      <c r="Q50" s="2" t="s">
        <v>106</v>
      </c>
      <c r="R50" s="2" t="s">
        <v>23</v>
      </c>
    </row>
    <row r="51" spans="1:18" x14ac:dyDescent="0.25">
      <c r="A51" s="2" t="s">
        <v>18</v>
      </c>
      <c r="B51" s="2" t="s">
        <v>19</v>
      </c>
      <c r="C51" s="2" t="s">
        <v>107</v>
      </c>
      <c r="D51" s="2" t="s">
        <v>21</v>
      </c>
      <c r="E51" s="3" t="b">
        <f>TRUE()</f>
        <v>1</v>
      </c>
      <c r="F51" s="4"/>
      <c r="G51" s="4">
        <v>46351</v>
      </c>
      <c r="H51" s="4">
        <v>46381</v>
      </c>
      <c r="I51" s="4">
        <v>46381</v>
      </c>
      <c r="J51" s="2" t="s">
        <v>108</v>
      </c>
      <c r="K51" s="2" t="s">
        <v>23</v>
      </c>
      <c r="L51" s="5">
        <v>0</v>
      </c>
      <c r="M51" s="3" t="b">
        <f>FALSE()</f>
        <v>0</v>
      </c>
      <c r="N51" s="5">
        <v>150</v>
      </c>
      <c r="O51" s="2" t="s">
        <v>24</v>
      </c>
      <c r="P51" s="2" t="s">
        <v>25</v>
      </c>
      <c r="Q51" s="2" t="s">
        <v>108</v>
      </c>
      <c r="R51" s="2" t="s">
        <v>23</v>
      </c>
    </row>
    <row r="52" spans="1:18" x14ac:dyDescent="0.25">
      <c r="A52" s="2" t="s">
        <v>18</v>
      </c>
      <c r="B52" s="2" t="s">
        <v>19</v>
      </c>
      <c r="C52" s="2" t="s">
        <v>109</v>
      </c>
      <c r="D52" s="2" t="s">
        <v>21</v>
      </c>
      <c r="E52" s="3" t="b">
        <f>TRUE()</f>
        <v>1</v>
      </c>
      <c r="F52" s="4"/>
      <c r="G52" s="4">
        <v>46351</v>
      </c>
      <c r="H52" s="4">
        <v>46381</v>
      </c>
      <c r="I52" s="4">
        <v>46381</v>
      </c>
      <c r="J52" s="2" t="s">
        <v>110</v>
      </c>
      <c r="K52" s="2" t="s">
        <v>23</v>
      </c>
      <c r="L52" s="5">
        <v>0</v>
      </c>
      <c r="M52" s="3" t="b">
        <f>FALSE()</f>
        <v>0</v>
      </c>
      <c r="N52" s="5">
        <v>50</v>
      </c>
      <c r="O52" s="2" t="s">
        <v>24</v>
      </c>
      <c r="P52" s="2" t="s">
        <v>25</v>
      </c>
      <c r="Q52" s="2" t="s">
        <v>110</v>
      </c>
      <c r="R52" s="2" t="s">
        <v>23</v>
      </c>
    </row>
    <row r="53" spans="1:18" x14ac:dyDescent="0.25">
      <c r="A53" s="2" t="s">
        <v>18</v>
      </c>
      <c r="B53" s="2" t="s">
        <v>19</v>
      </c>
      <c r="C53" s="2" t="s">
        <v>111</v>
      </c>
      <c r="D53" s="2" t="s">
        <v>21</v>
      </c>
      <c r="E53" s="3" t="b">
        <f>TRUE()</f>
        <v>1</v>
      </c>
      <c r="F53" s="4"/>
      <c r="G53" s="4">
        <v>46351</v>
      </c>
      <c r="H53" s="4">
        <v>46381</v>
      </c>
      <c r="I53" s="4">
        <v>46381</v>
      </c>
      <c r="J53" s="2" t="s">
        <v>112</v>
      </c>
      <c r="K53" s="2" t="s">
        <v>23</v>
      </c>
      <c r="L53" s="5">
        <v>0</v>
      </c>
      <c r="M53" s="3" t="b">
        <f>FALSE()</f>
        <v>0</v>
      </c>
      <c r="N53" s="5">
        <v>25</v>
      </c>
      <c r="O53" s="2" t="s">
        <v>24</v>
      </c>
      <c r="P53" s="2" t="s">
        <v>25</v>
      </c>
      <c r="Q53" s="2" t="s">
        <v>112</v>
      </c>
      <c r="R53" s="2" t="s">
        <v>23</v>
      </c>
    </row>
    <row r="54" spans="1:18" x14ac:dyDescent="0.25">
      <c r="A54" s="2" t="s">
        <v>18</v>
      </c>
      <c r="B54" s="2" t="s">
        <v>19</v>
      </c>
      <c r="C54" s="2" t="s">
        <v>113</v>
      </c>
      <c r="D54" s="2" t="s">
        <v>21</v>
      </c>
      <c r="E54" s="3" t="b">
        <f>TRUE()</f>
        <v>1</v>
      </c>
      <c r="F54" s="4"/>
      <c r="G54" s="4">
        <v>46351</v>
      </c>
      <c r="H54" s="4">
        <v>46381</v>
      </c>
      <c r="I54" s="4">
        <v>46381</v>
      </c>
      <c r="J54" s="2" t="s">
        <v>114</v>
      </c>
      <c r="K54" s="2" t="s">
        <v>23</v>
      </c>
      <c r="L54" s="5">
        <v>0</v>
      </c>
      <c r="M54" s="3" t="b">
        <f>FALSE()</f>
        <v>0</v>
      </c>
      <c r="N54" s="5">
        <v>25</v>
      </c>
      <c r="O54" s="2" t="s">
        <v>24</v>
      </c>
      <c r="P54" s="2" t="s">
        <v>25</v>
      </c>
      <c r="Q54" s="2" t="s">
        <v>114</v>
      </c>
      <c r="R54" s="2" t="s">
        <v>23</v>
      </c>
    </row>
    <row r="55" spans="1:18" x14ac:dyDescent="0.25">
      <c r="A55" s="2" t="s">
        <v>18</v>
      </c>
      <c r="B55" s="2" t="s">
        <v>19</v>
      </c>
      <c r="C55" s="2" t="s">
        <v>115</v>
      </c>
      <c r="D55" s="2" t="s">
        <v>21</v>
      </c>
      <c r="E55" s="3" t="b">
        <f>TRUE()</f>
        <v>1</v>
      </c>
      <c r="F55" s="4"/>
      <c r="G55" s="4">
        <v>46183</v>
      </c>
      <c r="H55" s="4">
        <v>46213</v>
      </c>
      <c r="I55" s="4">
        <v>46213</v>
      </c>
      <c r="J55" s="2" t="s">
        <v>116</v>
      </c>
      <c r="K55" s="2" t="s">
        <v>23</v>
      </c>
      <c r="L55" s="5">
        <v>0</v>
      </c>
      <c r="M55" s="3" t="b">
        <f>FALSE()</f>
        <v>0</v>
      </c>
      <c r="N55" s="5">
        <v>25</v>
      </c>
      <c r="O55" s="2" t="s">
        <v>24</v>
      </c>
      <c r="P55" s="2" t="s">
        <v>25</v>
      </c>
      <c r="Q55" s="2" t="s">
        <v>116</v>
      </c>
      <c r="R55" s="2" t="s">
        <v>23</v>
      </c>
    </row>
    <row r="56" spans="1:18" x14ac:dyDescent="0.25">
      <c r="A56" s="2" t="s">
        <v>18</v>
      </c>
      <c r="B56" s="2" t="s">
        <v>19</v>
      </c>
      <c r="C56" s="2" t="s">
        <v>115</v>
      </c>
      <c r="D56" s="2" t="s">
        <v>21</v>
      </c>
      <c r="E56" s="3" t="b">
        <f>TRUE()</f>
        <v>1</v>
      </c>
      <c r="F56" s="4"/>
      <c r="G56" s="4">
        <v>46351</v>
      </c>
      <c r="H56" s="4">
        <v>46381</v>
      </c>
      <c r="I56" s="4">
        <v>46381</v>
      </c>
      <c r="J56" s="2" t="s">
        <v>116</v>
      </c>
      <c r="K56" s="2" t="s">
        <v>23</v>
      </c>
      <c r="L56" s="5">
        <v>0</v>
      </c>
      <c r="M56" s="3" t="b">
        <f>FALSE()</f>
        <v>0</v>
      </c>
      <c r="N56" s="5">
        <v>25</v>
      </c>
      <c r="O56" s="2" t="s">
        <v>24</v>
      </c>
      <c r="P56" s="2" t="s">
        <v>25</v>
      </c>
      <c r="Q56" s="2" t="s">
        <v>116</v>
      </c>
      <c r="R56" s="2" t="s">
        <v>23</v>
      </c>
    </row>
    <row r="57" spans="1:18" x14ac:dyDescent="0.25">
      <c r="A57" s="2" t="s">
        <v>18</v>
      </c>
      <c r="B57" s="2" t="s">
        <v>19</v>
      </c>
      <c r="C57" s="2" t="s">
        <v>117</v>
      </c>
      <c r="D57" s="2" t="s">
        <v>21</v>
      </c>
      <c r="E57" s="3" t="b">
        <f>TRUE()</f>
        <v>1</v>
      </c>
      <c r="F57" s="4"/>
      <c r="G57" s="4">
        <v>46351</v>
      </c>
      <c r="H57" s="4">
        <v>46381</v>
      </c>
      <c r="I57" s="4">
        <v>46381</v>
      </c>
      <c r="J57" s="2" t="s">
        <v>118</v>
      </c>
      <c r="K57" s="2" t="s">
        <v>23</v>
      </c>
      <c r="L57" s="5">
        <v>0</v>
      </c>
      <c r="M57" s="3" t="b">
        <f>FALSE()</f>
        <v>0</v>
      </c>
      <c r="N57" s="5">
        <v>25</v>
      </c>
      <c r="O57" s="2" t="s">
        <v>24</v>
      </c>
      <c r="P57" s="2" t="s">
        <v>25</v>
      </c>
      <c r="Q57" s="2" t="s">
        <v>118</v>
      </c>
      <c r="R57" s="2" t="s">
        <v>23</v>
      </c>
    </row>
    <row r="58" spans="1:18" x14ac:dyDescent="0.25">
      <c r="A58" s="2" t="s">
        <v>18</v>
      </c>
      <c r="B58" s="2" t="s">
        <v>19</v>
      </c>
      <c r="C58" s="2" t="s">
        <v>119</v>
      </c>
      <c r="D58" s="2" t="s">
        <v>21</v>
      </c>
      <c r="E58" s="3" t="b">
        <f>TRUE()</f>
        <v>1</v>
      </c>
      <c r="F58" s="4"/>
      <c r="G58" s="4">
        <v>46351</v>
      </c>
      <c r="H58" s="4">
        <v>46381</v>
      </c>
      <c r="I58" s="4">
        <v>46381</v>
      </c>
      <c r="J58" s="2" t="s">
        <v>120</v>
      </c>
      <c r="K58" s="2" t="s">
        <v>23</v>
      </c>
      <c r="L58" s="5">
        <v>0</v>
      </c>
      <c r="M58" s="3" t="b">
        <f>FALSE()</f>
        <v>0</v>
      </c>
      <c r="N58" s="5">
        <v>10</v>
      </c>
      <c r="O58" s="2" t="s">
        <v>24</v>
      </c>
      <c r="P58" s="2" t="s">
        <v>25</v>
      </c>
      <c r="Q58" s="2" t="s">
        <v>120</v>
      </c>
      <c r="R58" s="2" t="s">
        <v>23</v>
      </c>
    </row>
    <row r="59" spans="1:18" x14ac:dyDescent="0.25">
      <c r="A59" s="2" t="s">
        <v>18</v>
      </c>
      <c r="B59" s="2" t="s">
        <v>19</v>
      </c>
      <c r="C59" s="2" t="s">
        <v>121</v>
      </c>
      <c r="D59" s="2" t="s">
        <v>21</v>
      </c>
      <c r="E59" s="3" t="b">
        <f>TRUE()</f>
        <v>1</v>
      </c>
      <c r="F59" s="4"/>
      <c r="G59" s="4">
        <v>46350</v>
      </c>
      <c r="H59" s="4">
        <v>46380</v>
      </c>
      <c r="I59" s="4">
        <v>46380</v>
      </c>
      <c r="J59" s="2" t="s">
        <v>122</v>
      </c>
      <c r="K59" s="2" t="s">
        <v>23</v>
      </c>
      <c r="L59" s="5">
        <v>0</v>
      </c>
      <c r="M59" s="3" t="b">
        <f>FALSE()</f>
        <v>0</v>
      </c>
      <c r="N59" s="5">
        <v>75</v>
      </c>
      <c r="O59" s="2" t="s">
        <v>24</v>
      </c>
      <c r="P59" s="2" t="s">
        <v>62</v>
      </c>
      <c r="Q59" s="2" t="s">
        <v>122</v>
      </c>
      <c r="R59" s="2" t="s">
        <v>23</v>
      </c>
    </row>
    <row r="60" spans="1:18" x14ac:dyDescent="0.25">
      <c r="A60" s="2" t="s">
        <v>18</v>
      </c>
      <c r="B60" s="2" t="s">
        <v>19</v>
      </c>
      <c r="C60" s="2" t="s">
        <v>123</v>
      </c>
      <c r="D60" s="2" t="s">
        <v>21</v>
      </c>
      <c r="E60" s="3" t="b">
        <f>TRUE()</f>
        <v>1</v>
      </c>
      <c r="F60" s="4"/>
      <c r="G60" s="4">
        <v>46169</v>
      </c>
      <c r="H60" s="4">
        <v>46169</v>
      </c>
      <c r="I60" s="4">
        <v>46169</v>
      </c>
      <c r="J60" s="2" t="s">
        <v>124</v>
      </c>
      <c r="K60" s="2" t="s">
        <v>23</v>
      </c>
      <c r="L60" s="5">
        <v>0</v>
      </c>
      <c r="M60" s="3" t="b">
        <f>FALSE()</f>
        <v>0</v>
      </c>
      <c r="N60" s="5">
        <v>25</v>
      </c>
      <c r="O60" s="2" t="s">
        <v>24</v>
      </c>
      <c r="P60" s="2" t="s">
        <v>125</v>
      </c>
      <c r="Q60" s="2" t="s">
        <v>124</v>
      </c>
      <c r="R60" s="2" t="s">
        <v>23</v>
      </c>
    </row>
    <row r="61" spans="1:18" x14ac:dyDescent="0.25">
      <c r="A61" s="2" t="s">
        <v>18</v>
      </c>
      <c r="B61" s="2" t="s">
        <v>19</v>
      </c>
      <c r="C61" s="2" t="s">
        <v>126</v>
      </c>
      <c r="D61" s="2" t="s">
        <v>21</v>
      </c>
      <c r="E61" s="3" t="b">
        <f>TRUE()</f>
        <v>1</v>
      </c>
      <c r="F61" s="4"/>
      <c r="G61" s="4">
        <v>46350</v>
      </c>
      <c r="H61" s="4">
        <v>46380</v>
      </c>
      <c r="I61" s="4">
        <v>46380</v>
      </c>
      <c r="J61" s="2" t="s">
        <v>127</v>
      </c>
      <c r="K61" s="2" t="s">
        <v>23</v>
      </c>
      <c r="L61" s="5">
        <v>0</v>
      </c>
      <c r="M61" s="3" t="b">
        <f>FALSE()</f>
        <v>0</v>
      </c>
      <c r="N61" s="5">
        <v>75</v>
      </c>
      <c r="O61" s="2" t="s">
        <v>24</v>
      </c>
      <c r="P61" s="2" t="s">
        <v>62</v>
      </c>
      <c r="Q61" s="2" t="s">
        <v>127</v>
      </c>
      <c r="R61" s="2" t="s">
        <v>23</v>
      </c>
    </row>
    <row r="62" spans="1:18" x14ac:dyDescent="0.25">
      <c r="A62" s="2" t="s">
        <v>18</v>
      </c>
      <c r="B62" s="2" t="s">
        <v>19</v>
      </c>
      <c r="C62" s="2" t="s">
        <v>128</v>
      </c>
      <c r="D62" s="2" t="s">
        <v>21</v>
      </c>
      <c r="E62" s="3" t="b">
        <f>TRUE()</f>
        <v>1</v>
      </c>
      <c r="F62" s="4"/>
      <c r="G62" s="4">
        <v>46350</v>
      </c>
      <c r="H62" s="4">
        <v>46380</v>
      </c>
      <c r="I62" s="4">
        <v>46380</v>
      </c>
      <c r="J62" s="2" t="s">
        <v>129</v>
      </c>
      <c r="K62" s="2" t="s">
        <v>23</v>
      </c>
      <c r="L62" s="5">
        <v>0</v>
      </c>
      <c r="M62" s="3" t="b">
        <f>FALSE()</f>
        <v>0</v>
      </c>
      <c r="N62" s="5">
        <v>10</v>
      </c>
      <c r="O62" s="2" t="s">
        <v>24</v>
      </c>
      <c r="P62" s="2" t="s">
        <v>25</v>
      </c>
      <c r="Q62" s="2" t="s">
        <v>129</v>
      </c>
      <c r="R62" s="2" t="s">
        <v>23</v>
      </c>
    </row>
    <row r="63" spans="1:18" x14ac:dyDescent="0.25">
      <c r="A63" s="2" t="s">
        <v>18</v>
      </c>
      <c r="B63" s="2" t="s">
        <v>19</v>
      </c>
      <c r="C63" s="2" t="s">
        <v>130</v>
      </c>
      <c r="D63" s="2" t="s">
        <v>21</v>
      </c>
      <c r="E63" s="3" t="b">
        <f>TRUE()</f>
        <v>1</v>
      </c>
      <c r="F63" s="4"/>
      <c r="G63" s="4">
        <v>46350</v>
      </c>
      <c r="H63" s="4">
        <v>46380</v>
      </c>
      <c r="I63" s="4">
        <v>46380</v>
      </c>
      <c r="J63" s="2" t="s">
        <v>131</v>
      </c>
      <c r="K63" s="2" t="s">
        <v>23</v>
      </c>
      <c r="L63" s="5">
        <v>0</v>
      </c>
      <c r="M63" s="3" t="b">
        <f>FALSE()</f>
        <v>0</v>
      </c>
      <c r="N63" s="5">
        <v>10</v>
      </c>
      <c r="O63" s="2" t="s">
        <v>24</v>
      </c>
      <c r="P63" s="2" t="s">
        <v>25</v>
      </c>
      <c r="Q63" s="2" t="s">
        <v>131</v>
      </c>
      <c r="R63" s="2" t="s">
        <v>23</v>
      </c>
    </row>
    <row r="64" spans="1:18" x14ac:dyDescent="0.25">
      <c r="A64" s="2" t="s">
        <v>18</v>
      </c>
      <c r="B64" s="2" t="s">
        <v>19</v>
      </c>
      <c r="C64" s="2" t="s">
        <v>132</v>
      </c>
      <c r="D64" s="2" t="s">
        <v>21</v>
      </c>
      <c r="E64" s="3" t="b">
        <f>TRUE()</f>
        <v>1</v>
      </c>
      <c r="F64" s="4"/>
      <c r="G64" s="4">
        <v>46350</v>
      </c>
      <c r="H64" s="4">
        <v>46380</v>
      </c>
      <c r="I64" s="4">
        <v>46380</v>
      </c>
      <c r="J64" s="2" t="s">
        <v>133</v>
      </c>
      <c r="K64" s="2" t="s">
        <v>23</v>
      </c>
      <c r="L64" s="5">
        <v>0</v>
      </c>
      <c r="M64" s="3" t="b">
        <f>FALSE()</f>
        <v>0</v>
      </c>
      <c r="N64" s="5">
        <v>50</v>
      </c>
      <c r="O64" s="2" t="s">
        <v>24</v>
      </c>
      <c r="P64" s="2" t="s">
        <v>25</v>
      </c>
      <c r="Q64" s="2" t="s">
        <v>133</v>
      </c>
      <c r="R64" s="2" t="s">
        <v>23</v>
      </c>
    </row>
    <row r="65" spans="1:18" x14ac:dyDescent="0.25">
      <c r="A65" s="2" t="s">
        <v>18</v>
      </c>
      <c r="B65" s="2" t="s">
        <v>19</v>
      </c>
      <c r="C65" s="2" t="s">
        <v>134</v>
      </c>
      <c r="D65" s="2" t="s">
        <v>21</v>
      </c>
      <c r="E65" s="3" t="b">
        <f>TRUE()</f>
        <v>1</v>
      </c>
      <c r="F65" s="4"/>
      <c r="G65" s="4">
        <v>46350</v>
      </c>
      <c r="H65" s="4">
        <v>46380</v>
      </c>
      <c r="I65" s="4">
        <v>46380</v>
      </c>
      <c r="J65" s="2" t="s">
        <v>135</v>
      </c>
      <c r="K65" s="2" t="s">
        <v>23</v>
      </c>
      <c r="L65" s="5">
        <v>0</v>
      </c>
      <c r="M65" s="3" t="b">
        <f>FALSE()</f>
        <v>0</v>
      </c>
      <c r="N65" s="5">
        <v>10</v>
      </c>
      <c r="O65" s="2" t="s">
        <v>24</v>
      </c>
      <c r="P65" s="2" t="s">
        <v>25</v>
      </c>
      <c r="Q65" s="2" t="s">
        <v>135</v>
      </c>
      <c r="R65" s="2" t="s">
        <v>23</v>
      </c>
    </row>
    <row r="66" spans="1:18" x14ac:dyDescent="0.25">
      <c r="A66" s="2" t="s">
        <v>18</v>
      </c>
      <c r="B66" s="2" t="s">
        <v>19</v>
      </c>
      <c r="C66" s="2" t="s">
        <v>136</v>
      </c>
      <c r="D66" s="2" t="s">
        <v>21</v>
      </c>
      <c r="E66" s="3" t="b">
        <f>TRUE()</f>
        <v>1</v>
      </c>
      <c r="F66" s="4"/>
      <c r="G66" s="4">
        <v>46350</v>
      </c>
      <c r="H66" s="4">
        <v>46380</v>
      </c>
      <c r="I66" s="4">
        <v>46380</v>
      </c>
      <c r="J66" s="2" t="s">
        <v>137</v>
      </c>
      <c r="K66" s="2" t="s">
        <v>23</v>
      </c>
      <c r="L66" s="5">
        <v>0</v>
      </c>
      <c r="M66" s="3" t="b">
        <f>FALSE()</f>
        <v>0</v>
      </c>
      <c r="N66" s="5">
        <v>25</v>
      </c>
      <c r="O66" s="2" t="s">
        <v>24</v>
      </c>
      <c r="P66" s="2" t="s">
        <v>25</v>
      </c>
      <c r="Q66" s="2" t="s">
        <v>137</v>
      </c>
      <c r="R66" s="2" t="s">
        <v>23</v>
      </c>
    </row>
    <row r="67" spans="1:18" x14ac:dyDescent="0.25">
      <c r="A67" s="2" t="s">
        <v>18</v>
      </c>
      <c r="B67" s="2" t="s">
        <v>19</v>
      </c>
      <c r="C67" s="2" t="s">
        <v>138</v>
      </c>
      <c r="D67" s="2" t="s">
        <v>21</v>
      </c>
      <c r="E67" s="3" t="b">
        <f>TRUE()</f>
        <v>1</v>
      </c>
      <c r="F67" s="4"/>
      <c r="G67" s="4">
        <v>46350</v>
      </c>
      <c r="H67" s="4">
        <v>46380</v>
      </c>
      <c r="I67" s="4">
        <v>46380</v>
      </c>
      <c r="J67" s="2" t="s">
        <v>139</v>
      </c>
      <c r="K67" s="2" t="s">
        <v>23</v>
      </c>
      <c r="L67" s="5">
        <v>0</v>
      </c>
      <c r="M67" s="3" t="b">
        <f>FALSE()</f>
        <v>0</v>
      </c>
      <c r="N67" s="5">
        <v>25</v>
      </c>
      <c r="O67" s="2" t="s">
        <v>24</v>
      </c>
      <c r="P67" s="2" t="s">
        <v>62</v>
      </c>
      <c r="Q67" s="2" t="s">
        <v>139</v>
      </c>
      <c r="R67" s="2" t="s">
        <v>23</v>
      </c>
    </row>
    <row r="68" spans="1:18" x14ac:dyDescent="0.25">
      <c r="A68" s="2" t="s">
        <v>18</v>
      </c>
      <c r="B68" s="2" t="s">
        <v>19</v>
      </c>
      <c r="C68" s="2" t="s">
        <v>140</v>
      </c>
      <c r="D68" s="2" t="s">
        <v>21</v>
      </c>
      <c r="E68" s="3" t="b">
        <f>TRUE()</f>
        <v>1</v>
      </c>
      <c r="F68" s="4"/>
      <c r="G68" s="4">
        <v>46350</v>
      </c>
      <c r="H68" s="4">
        <v>46380</v>
      </c>
      <c r="I68" s="4">
        <v>46380</v>
      </c>
      <c r="J68" s="2" t="s">
        <v>141</v>
      </c>
      <c r="K68" s="2" t="s">
        <v>23</v>
      </c>
      <c r="L68" s="5">
        <v>0</v>
      </c>
      <c r="M68" s="3" t="b">
        <f>FALSE()</f>
        <v>0</v>
      </c>
      <c r="N68" s="5">
        <v>25</v>
      </c>
      <c r="O68" s="2" t="s">
        <v>24</v>
      </c>
      <c r="P68" s="2" t="s">
        <v>62</v>
      </c>
      <c r="Q68" s="2" t="s">
        <v>141</v>
      </c>
      <c r="R68" s="2" t="s">
        <v>23</v>
      </c>
    </row>
    <row r="69" spans="1:18" x14ac:dyDescent="0.25">
      <c r="A69" s="2" t="s">
        <v>18</v>
      </c>
      <c r="B69" s="2" t="s">
        <v>19</v>
      </c>
      <c r="C69" s="2" t="s">
        <v>142</v>
      </c>
      <c r="D69" s="2" t="s">
        <v>21</v>
      </c>
      <c r="E69" s="3" t="b">
        <f>TRUE()</f>
        <v>1</v>
      </c>
      <c r="F69" s="4"/>
      <c r="G69" s="4">
        <v>46348</v>
      </c>
      <c r="H69" s="4">
        <v>46378</v>
      </c>
      <c r="I69" s="4">
        <v>46378</v>
      </c>
      <c r="J69" s="2" t="s">
        <v>143</v>
      </c>
      <c r="K69" s="2" t="s">
        <v>23</v>
      </c>
      <c r="L69" s="5">
        <v>0</v>
      </c>
      <c r="M69" s="3" t="b">
        <f>FALSE()</f>
        <v>0</v>
      </c>
      <c r="N69" s="5">
        <v>25</v>
      </c>
      <c r="O69" s="2" t="s">
        <v>24</v>
      </c>
      <c r="P69" s="2" t="s">
        <v>25</v>
      </c>
      <c r="Q69" s="2" t="s">
        <v>143</v>
      </c>
      <c r="R69" s="2" t="s">
        <v>23</v>
      </c>
    </row>
    <row r="70" spans="1:18" x14ac:dyDescent="0.25">
      <c r="A70" s="2" t="s">
        <v>18</v>
      </c>
      <c r="B70" s="2" t="s">
        <v>19</v>
      </c>
      <c r="C70" s="2" t="s">
        <v>144</v>
      </c>
      <c r="D70" s="2" t="s">
        <v>21</v>
      </c>
      <c r="E70" s="3" t="b">
        <f>TRUE()</f>
        <v>1</v>
      </c>
      <c r="F70" s="4"/>
      <c r="G70" s="4">
        <v>46347</v>
      </c>
      <c r="H70" s="4">
        <v>46377</v>
      </c>
      <c r="I70" s="4">
        <v>46377</v>
      </c>
      <c r="J70" s="2" t="s">
        <v>145</v>
      </c>
      <c r="K70" s="2" t="s">
        <v>23</v>
      </c>
      <c r="L70" s="5">
        <v>0</v>
      </c>
      <c r="M70" s="3" t="b">
        <f>FALSE()</f>
        <v>0</v>
      </c>
      <c r="N70" s="5">
        <v>400</v>
      </c>
      <c r="O70" s="2" t="s">
        <v>24</v>
      </c>
      <c r="P70" s="2" t="s">
        <v>62</v>
      </c>
      <c r="Q70" s="2" t="s">
        <v>145</v>
      </c>
      <c r="R70" s="2" t="s">
        <v>23</v>
      </c>
    </row>
    <row r="71" spans="1:18" x14ac:dyDescent="0.25">
      <c r="A71" s="2" t="s">
        <v>18</v>
      </c>
      <c r="B71" s="2" t="s">
        <v>19</v>
      </c>
      <c r="C71" s="2" t="s">
        <v>146</v>
      </c>
      <c r="D71" s="2" t="s">
        <v>21</v>
      </c>
      <c r="E71" s="3" t="b">
        <f>TRUE()</f>
        <v>1</v>
      </c>
      <c r="F71" s="4"/>
      <c r="G71" s="4">
        <v>46381</v>
      </c>
      <c r="H71" s="4">
        <v>46381</v>
      </c>
      <c r="I71" s="4">
        <v>46381</v>
      </c>
      <c r="J71" s="2" t="s">
        <v>147</v>
      </c>
      <c r="K71" s="2" t="s">
        <v>23</v>
      </c>
      <c r="L71" s="5">
        <v>0</v>
      </c>
      <c r="M71" s="3" t="b">
        <f>FALSE()</f>
        <v>0</v>
      </c>
      <c r="N71" s="5">
        <v>125</v>
      </c>
      <c r="O71" s="2" t="s">
        <v>24</v>
      </c>
      <c r="P71" s="2" t="s">
        <v>23</v>
      </c>
      <c r="Q71" s="2" t="s">
        <v>147</v>
      </c>
      <c r="R71" s="2" t="s">
        <v>23</v>
      </c>
    </row>
    <row r="72" spans="1:18" x14ac:dyDescent="0.25">
      <c r="A72" s="2" t="s">
        <v>18</v>
      </c>
      <c r="B72" s="2" t="s">
        <v>19</v>
      </c>
      <c r="C72" s="2" t="s">
        <v>148</v>
      </c>
      <c r="D72" s="2" t="s">
        <v>21</v>
      </c>
      <c r="E72" s="3" t="b">
        <f>TRUE()</f>
        <v>1</v>
      </c>
      <c r="F72" s="4"/>
      <c r="G72" s="4">
        <v>46378</v>
      </c>
      <c r="H72" s="4">
        <v>46378</v>
      </c>
      <c r="I72" s="4">
        <v>46378</v>
      </c>
      <c r="J72" s="2" t="s">
        <v>149</v>
      </c>
      <c r="K72" s="2" t="s">
        <v>23</v>
      </c>
      <c r="L72" s="5">
        <v>0</v>
      </c>
      <c r="M72" s="3" t="b">
        <f>FALSE()</f>
        <v>0</v>
      </c>
      <c r="N72" s="5">
        <v>25</v>
      </c>
      <c r="O72" s="2" t="s">
        <v>24</v>
      </c>
      <c r="P72" s="2" t="s">
        <v>23</v>
      </c>
      <c r="Q72" s="2" t="s">
        <v>149</v>
      </c>
      <c r="R72" s="2" t="s">
        <v>23</v>
      </c>
    </row>
    <row r="73" spans="1:18" x14ac:dyDescent="0.25">
      <c r="A73" s="2" t="s">
        <v>18</v>
      </c>
      <c r="B73" s="2" t="s">
        <v>19</v>
      </c>
      <c r="C73" s="2" t="s">
        <v>150</v>
      </c>
      <c r="D73" s="2" t="s">
        <v>21</v>
      </c>
      <c r="E73" s="3" t="b">
        <f>TRUE()</f>
        <v>1</v>
      </c>
      <c r="F73" s="4"/>
      <c r="G73" s="4">
        <v>46358</v>
      </c>
      <c r="H73" s="4">
        <v>46358</v>
      </c>
      <c r="I73" s="4">
        <v>46358</v>
      </c>
      <c r="J73" s="2" t="s">
        <v>151</v>
      </c>
      <c r="K73" s="2" t="s">
        <v>23</v>
      </c>
      <c r="L73" s="5">
        <v>0</v>
      </c>
      <c r="M73" s="3" t="b">
        <f>FALSE()</f>
        <v>0</v>
      </c>
      <c r="N73" s="5">
        <v>50</v>
      </c>
      <c r="O73" s="2" t="s">
        <v>24</v>
      </c>
      <c r="P73" s="2" t="s">
        <v>23</v>
      </c>
      <c r="Q73" s="2" t="s">
        <v>151</v>
      </c>
      <c r="R73" s="2" t="s">
        <v>23</v>
      </c>
    </row>
    <row r="74" spans="1:18" x14ac:dyDescent="0.25">
      <c r="A74" s="2" t="s">
        <v>18</v>
      </c>
      <c r="B74" s="2" t="s">
        <v>19</v>
      </c>
      <c r="C74" s="2" t="s">
        <v>152</v>
      </c>
      <c r="D74" s="2" t="s">
        <v>21</v>
      </c>
      <c r="E74" s="3" t="b">
        <f>TRUE()</f>
        <v>1</v>
      </c>
      <c r="F74" s="4"/>
      <c r="G74" s="4">
        <v>46384</v>
      </c>
      <c r="H74" s="4">
        <v>46384</v>
      </c>
      <c r="I74" s="4">
        <v>46384</v>
      </c>
      <c r="J74" s="2" t="s">
        <v>153</v>
      </c>
      <c r="K74" s="2" t="s">
        <v>23</v>
      </c>
      <c r="L74" s="5">
        <v>0</v>
      </c>
      <c r="M74" s="3" t="b">
        <f>FALSE()</f>
        <v>0</v>
      </c>
      <c r="N74" s="5">
        <v>25</v>
      </c>
      <c r="O74" s="2" t="s">
        <v>24</v>
      </c>
      <c r="P74" s="2" t="s">
        <v>23</v>
      </c>
      <c r="Q74" s="2" t="s">
        <v>153</v>
      </c>
      <c r="R74" s="2" t="s">
        <v>23</v>
      </c>
    </row>
    <row r="75" spans="1:18" x14ac:dyDescent="0.25">
      <c r="A75" s="2" t="s">
        <v>18</v>
      </c>
      <c r="B75" s="2" t="s">
        <v>19</v>
      </c>
      <c r="C75" s="2" t="s">
        <v>154</v>
      </c>
      <c r="D75" s="2" t="s">
        <v>21</v>
      </c>
      <c r="E75" s="3" t="b">
        <f>TRUE()</f>
        <v>1</v>
      </c>
      <c r="F75" s="4"/>
      <c r="G75" s="4">
        <v>46384</v>
      </c>
      <c r="H75" s="4">
        <v>46384</v>
      </c>
      <c r="I75" s="4">
        <v>46384</v>
      </c>
      <c r="J75" s="2" t="s">
        <v>155</v>
      </c>
      <c r="K75" s="2" t="s">
        <v>23</v>
      </c>
      <c r="L75" s="5">
        <v>0</v>
      </c>
      <c r="M75" s="3" t="b">
        <f>FALSE()</f>
        <v>0</v>
      </c>
      <c r="N75" s="5">
        <v>25</v>
      </c>
      <c r="O75" s="2" t="s">
        <v>24</v>
      </c>
      <c r="P75" s="2" t="s">
        <v>23</v>
      </c>
      <c r="Q75" s="2" t="s">
        <v>155</v>
      </c>
      <c r="R75" s="2" t="s">
        <v>23</v>
      </c>
    </row>
    <row r="76" spans="1:18" x14ac:dyDescent="0.25">
      <c r="A76" s="2" t="s">
        <v>18</v>
      </c>
      <c r="B76" s="2" t="s">
        <v>19</v>
      </c>
      <c r="C76" s="2" t="s">
        <v>156</v>
      </c>
      <c r="D76" s="2" t="s">
        <v>21</v>
      </c>
      <c r="E76" s="3" t="b">
        <f>TRUE()</f>
        <v>1</v>
      </c>
      <c r="F76" s="4"/>
      <c r="G76" s="4">
        <v>46384</v>
      </c>
      <c r="H76" s="4">
        <v>46384</v>
      </c>
      <c r="I76" s="4">
        <v>46384</v>
      </c>
      <c r="J76" s="2" t="s">
        <v>157</v>
      </c>
      <c r="K76" s="2" t="s">
        <v>23</v>
      </c>
      <c r="L76" s="5">
        <v>0</v>
      </c>
      <c r="M76" s="3" t="b">
        <f>FALSE()</f>
        <v>0</v>
      </c>
      <c r="N76" s="5">
        <v>50</v>
      </c>
      <c r="O76" s="2" t="s">
        <v>24</v>
      </c>
      <c r="P76" s="2" t="s">
        <v>23</v>
      </c>
      <c r="Q76" s="2" t="s">
        <v>157</v>
      </c>
      <c r="R76" s="2" t="s">
        <v>23</v>
      </c>
    </row>
    <row r="77" spans="1:18" x14ac:dyDescent="0.25">
      <c r="A77" s="2" t="s">
        <v>18</v>
      </c>
      <c r="B77" s="2" t="s">
        <v>19</v>
      </c>
      <c r="C77" s="2" t="s">
        <v>158</v>
      </c>
      <c r="D77" s="2" t="s">
        <v>21</v>
      </c>
      <c r="E77" s="3" t="b">
        <f>TRUE()</f>
        <v>1</v>
      </c>
      <c r="F77" s="4"/>
      <c r="G77" s="4">
        <v>46378</v>
      </c>
      <c r="H77" s="4">
        <v>46378</v>
      </c>
      <c r="I77" s="4">
        <v>46378</v>
      </c>
      <c r="J77" s="2" t="s">
        <v>159</v>
      </c>
      <c r="K77" s="2" t="s">
        <v>23</v>
      </c>
      <c r="L77" s="5">
        <v>0</v>
      </c>
      <c r="M77" s="3" t="b">
        <f>FALSE()</f>
        <v>0</v>
      </c>
      <c r="N77" s="5">
        <v>1100</v>
      </c>
      <c r="O77" s="2" t="s">
        <v>24</v>
      </c>
      <c r="P77" s="2" t="s">
        <v>23</v>
      </c>
      <c r="Q77" s="2" t="s">
        <v>159</v>
      </c>
      <c r="R77" s="2" t="s">
        <v>23</v>
      </c>
    </row>
    <row r="78" spans="1:18" x14ac:dyDescent="0.25">
      <c r="A78" s="2" t="s">
        <v>18</v>
      </c>
      <c r="B78" s="2" t="s">
        <v>19</v>
      </c>
      <c r="C78" s="2" t="s">
        <v>160</v>
      </c>
      <c r="D78" s="2" t="s">
        <v>21</v>
      </c>
      <c r="E78" s="3" t="b">
        <f>TRUE()</f>
        <v>1</v>
      </c>
      <c r="F78" s="4"/>
      <c r="G78" s="4">
        <v>46155</v>
      </c>
      <c r="H78" s="4">
        <v>46155</v>
      </c>
      <c r="I78" s="4">
        <v>46155</v>
      </c>
      <c r="J78" s="2" t="s">
        <v>161</v>
      </c>
      <c r="K78" s="2" t="s">
        <v>23</v>
      </c>
      <c r="L78" s="5">
        <v>0</v>
      </c>
      <c r="M78" s="3" t="b">
        <f>FALSE()</f>
        <v>0</v>
      </c>
      <c r="N78" s="5">
        <v>375</v>
      </c>
      <c r="O78" s="2" t="s">
        <v>24</v>
      </c>
      <c r="P78" s="2" t="s">
        <v>23</v>
      </c>
      <c r="Q78" s="2" t="s">
        <v>161</v>
      </c>
      <c r="R78" s="2" t="s">
        <v>23</v>
      </c>
    </row>
    <row r="79" spans="1:18" x14ac:dyDescent="0.25">
      <c r="A79" s="2" t="s">
        <v>18</v>
      </c>
      <c r="B79" s="2" t="s">
        <v>26</v>
      </c>
      <c r="C79" s="2" t="s">
        <v>162</v>
      </c>
      <c r="D79" s="2" t="s">
        <v>21</v>
      </c>
      <c r="E79" s="3" t="b">
        <f>FALSE()</f>
        <v>0</v>
      </c>
      <c r="F79" s="4"/>
      <c r="G79" s="4">
        <v>46124</v>
      </c>
      <c r="H79" s="4">
        <v>46154</v>
      </c>
      <c r="I79" s="4">
        <v>46154</v>
      </c>
      <c r="J79" s="2" t="s">
        <v>163</v>
      </c>
      <c r="K79" s="2" t="s">
        <v>23</v>
      </c>
      <c r="L79" s="5">
        <v>0</v>
      </c>
      <c r="M79" s="3" t="b">
        <f>FALSE()</f>
        <v>0</v>
      </c>
      <c r="N79" s="5">
        <v>10</v>
      </c>
      <c r="O79" s="2" t="s">
        <v>24</v>
      </c>
      <c r="P79" s="2" t="s">
        <v>164</v>
      </c>
      <c r="Q79" s="2" t="s">
        <v>163</v>
      </c>
      <c r="R79" s="2" t="s">
        <v>23</v>
      </c>
    </row>
    <row r="80" spans="1:18" x14ac:dyDescent="0.25">
      <c r="A80" s="2" t="s">
        <v>18</v>
      </c>
      <c r="B80" s="2" t="s">
        <v>26</v>
      </c>
      <c r="C80" s="2" t="s">
        <v>165</v>
      </c>
      <c r="D80" s="2" t="s">
        <v>21</v>
      </c>
      <c r="E80" s="3" t="b">
        <f>FALSE()</f>
        <v>0</v>
      </c>
      <c r="F80" s="4"/>
      <c r="G80" s="4">
        <v>46124</v>
      </c>
      <c r="H80" s="4">
        <v>46154</v>
      </c>
      <c r="I80" s="4">
        <v>46154</v>
      </c>
      <c r="J80" s="2" t="s">
        <v>166</v>
      </c>
      <c r="K80" s="2" t="s">
        <v>23</v>
      </c>
      <c r="L80" s="5">
        <v>0</v>
      </c>
      <c r="M80" s="3" t="b">
        <f>FALSE()</f>
        <v>0</v>
      </c>
      <c r="N80" s="5">
        <v>20</v>
      </c>
      <c r="O80" s="2" t="s">
        <v>24</v>
      </c>
      <c r="P80" s="2" t="s">
        <v>164</v>
      </c>
      <c r="Q80" s="2" t="s">
        <v>166</v>
      </c>
      <c r="R80" s="2" t="s">
        <v>23</v>
      </c>
    </row>
    <row r="81" spans="1:18" x14ac:dyDescent="0.25">
      <c r="A81" s="2" t="s">
        <v>18</v>
      </c>
      <c r="B81" s="2" t="s">
        <v>26</v>
      </c>
      <c r="C81" s="2" t="s">
        <v>167</v>
      </c>
      <c r="D81" s="2" t="s">
        <v>21</v>
      </c>
      <c r="E81" s="3" t="b">
        <f>FALSE()</f>
        <v>0</v>
      </c>
      <c r="F81" s="4"/>
      <c r="G81" s="4">
        <v>46123</v>
      </c>
      <c r="H81" s="4">
        <v>46153</v>
      </c>
      <c r="I81" s="4">
        <v>46153</v>
      </c>
      <c r="J81" s="2" t="s">
        <v>168</v>
      </c>
      <c r="K81" s="2" t="s">
        <v>23</v>
      </c>
      <c r="L81" s="5">
        <v>0</v>
      </c>
      <c r="M81" s="3" t="b">
        <f>FALSE()</f>
        <v>0</v>
      </c>
      <c r="N81" s="5">
        <v>10</v>
      </c>
      <c r="O81" s="2" t="s">
        <v>24</v>
      </c>
      <c r="P81" s="2" t="s">
        <v>164</v>
      </c>
      <c r="Q81" s="2" t="s">
        <v>168</v>
      </c>
      <c r="R81" s="2" t="s">
        <v>23</v>
      </c>
    </row>
    <row r="82" spans="1:18" x14ac:dyDescent="0.25">
      <c r="A82" s="2" t="s">
        <v>18</v>
      </c>
      <c r="B82" s="2" t="s">
        <v>26</v>
      </c>
      <c r="C82" s="2" t="s">
        <v>169</v>
      </c>
      <c r="D82" s="2" t="s">
        <v>21</v>
      </c>
      <c r="E82" s="3" t="b">
        <f>FALSE()</f>
        <v>0</v>
      </c>
      <c r="F82" s="4"/>
      <c r="G82" s="4">
        <v>46123</v>
      </c>
      <c r="H82" s="4">
        <v>46153</v>
      </c>
      <c r="I82" s="4">
        <v>46153</v>
      </c>
      <c r="J82" s="2" t="s">
        <v>170</v>
      </c>
      <c r="K82" s="2" t="s">
        <v>23</v>
      </c>
      <c r="L82" s="5">
        <v>0</v>
      </c>
      <c r="M82" s="3" t="b">
        <f>FALSE()</f>
        <v>0</v>
      </c>
      <c r="N82" s="5">
        <v>10</v>
      </c>
      <c r="O82" s="2" t="s">
        <v>24</v>
      </c>
      <c r="P82" s="2" t="s">
        <v>164</v>
      </c>
      <c r="Q82" s="2" t="s">
        <v>170</v>
      </c>
      <c r="R82" s="2" t="s">
        <v>23</v>
      </c>
    </row>
    <row r="83" spans="1:18" x14ac:dyDescent="0.25">
      <c r="A83" s="2" t="s">
        <v>18</v>
      </c>
      <c r="B83" s="2" t="s">
        <v>26</v>
      </c>
      <c r="C83" s="2" t="s">
        <v>171</v>
      </c>
      <c r="D83" s="2" t="s">
        <v>21</v>
      </c>
      <c r="E83" s="3" t="b">
        <f>FALSE()</f>
        <v>0</v>
      </c>
      <c r="F83" s="4"/>
      <c r="G83" s="4">
        <v>46110</v>
      </c>
      <c r="H83" s="4">
        <v>46140</v>
      </c>
      <c r="I83" s="4">
        <v>46140</v>
      </c>
      <c r="J83" s="2" t="s">
        <v>172</v>
      </c>
      <c r="K83" s="2" t="s">
        <v>23</v>
      </c>
      <c r="L83" s="5">
        <v>0</v>
      </c>
      <c r="M83" s="3" t="b">
        <f>FALSE()</f>
        <v>0</v>
      </c>
      <c r="N83" s="5">
        <v>10</v>
      </c>
      <c r="O83" s="2" t="s">
        <v>24</v>
      </c>
      <c r="P83" s="2" t="s">
        <v>164</v>
      </c>
      <c r="Q83" s="2" t="s">
        <v>172</v>
      </c>
      <c r="R83" s="2" t="s">
        <v>23</v>
      </c>
    </row>
    <row r="84" spans="1:18" x14ac:dyDescent="0.25">
      <c r="A84" s="2" t="s">
        <v>18</v>
      </c>
      <c r="B84" s="2" t="s">
        <v>19</v>
      </c>
      <c r="C84" s="2" t="s">
        <v>173</v>
      </c>
      <c r="D84" s="2" t="s">
        <v>21</v>
      </c>
      <c r="E84" s="3" t="b">
        <f>FALSE()</f>
        <v>0</v>
      </c>
      <c r="F84" s="4"/>
      <c r="G84" s="4">
        <v>46161</v>
      </c>
      <c r="H84" s="4">
        <v>46191</v>
      </c>
      <c r="I84" s="4">
        <v>46191</v>
      </c>
      <c r="J84" s="2" t="s">
        <v>174</v>
      </c>
      <c r="K84" s="2" t="s">
        <v>23</v>
      </c>
      <c r="L84" s="5">
        <v>0</v>
      </c>
      <c r="M84" s="3" t="b">
        <f>FALSE()</f>
        <v>0</v>
      </c>
      <c r="N84" s="5">
        <v>10</v>
      </c>
      <c r="O84" s="2" t="s">
        <v>24</v>
      </c>
      <c r="P84" s="2" t="s">
        <v>164</v>
      </c>
      <c r="Q84" s="2" t="s">
        <v>174</v>
      </c>
      <c r="R84" s="2" t="s">
        <v>23</v>
      </c>
    </row>
    <row r="85" spans="1:18" x14ac:dyDescent="0.25">
      <c r="A85" s="2" t="s">
        <v>18</v>
      </c>
      <c r="B85" s="2" t="s">
        <v>19</v>
      </c>
      <c r="C85" s="2" t="s">
        <v>175</v>
      </c>
      <c r="D85" s="2" t="s">
        <v>21</v>
      </c>
      <c r="E85" s="3" t="b">
        <f>FALSE()</f>
        <v>0</v>
      </c>
      <c r="F85" s="4"/>
      <c r="G85" s="4">
        <v>46158</v>
      </c>
      <c r="H85" s="4">
        <v>46188</v>
      </c>
      <c r="I85" s="4">
        <v>46188</v>
      </c>
      <c r="J85" s="2" t="s">
        <v>176</v>
      </c>
      <c r="K85" s="2" t="s">
        <v>23</v>
      </c>
      <c r="L85" s="5">
        <v>0</v>
      </c>
      <c r="M85" s="3" t="b">
        <f>FALSE()</f>
        <v>0</v>
      </c>
      <c r="N85" s="5">
        <v>60</v>
      </c>
      <c r="O85" s="2" t="s">
        <v>24</v>
      </c>
      <c r="P85" s="2" t="s">
        <v>164</v>
      </c>
      <c r="Q85" s="2" t="s">
        <v>176</v>
      </c>
      <c r="R85" s="2" t="s">
        <v>23</v>
      </c>
    </row>
    <row r="86" spans="1:18" x14ac:dyDescent="0.25">
      <c r="A86" s="2" t="s">
        <v>18</v>
      </c>
      <c r="B86" s="2" t="s">
        <v>177</v>
      </c>
      <c r="C86" s="2" t="s">
        <v>178</v>
      </c>
      <c r="D86" s="2" t="s">
        <v>21</v>
      </c>
      <c r="E86" s="3" t="b">
        <f>FALSE()</f>
        <v>0</v>
      </c>
      <c r="F86" s="4"/>
      <c r="G86" s="4">
        <v>46052</v>
      </c>
      <c r="H86" s="4">
        <v>46082</v>
      </c>
      <c r="I86" s="4">
        <v>46082</v>
      </c>
      <c r="J86" s="2" t="s">
        <v>179</v>
      </c>
      <c r="K86" s="2" t="s">
        <v>23</v>
      </c>
      <c r="L86" s="5">
        <v>0</v>
      </c>
      <c r="M86" s="3" t="b">
        <f>FALSE()</f>
        <v>0</v>
      </c>
      <c r="N86" s="5">
        <v>10</v>
      </c>
      <c r="O86" s="2" t="s">
        <v>24</v>
      </c>
      <c r="P86" s="2" t="s">
        <v>164</v>
      </c>
      <c r="Q86" s="2" t="s">
        <v>179</v>
      </c>
      <c r="R86" s="2" t="s">
        <v>23</v>
      </c>
    </row>
    <row r="87" spans="1:18" x14ac:dyDescent="0.25">
      <c r="A87" s="2" t="s">
        <v>18</v>
      </c>
      <c r="B87" s="2" t="s">
        <v>19</v>
      </c>
      <c r="C87" s="2" t="s">
        <v>180</v>
      </c>
      <c r="D87" s="2" t="s">
        <v>21</v>
      </c>
      <c r="E87" s="3" t="b">
        <f>TRUE()</f>
        <v>1</v>
      </c>
      <c r="F87" s="4"/>
      <c r="G87" s="4">
        <v>46348</v>
      </c>
      <c r="H87" s="4">
        <v>46378</v>
      </c>
      <c r="I87" s="4">
        <v>46378</v>
      </c>
      <c r="J87" s="2" t="s">
        <v>181</v>
      </c>
      <c r="K87" s="2" t="s">
        <v>23</v>
      </c>
      <c r="L87" s="5">
        <v>0</v>
      </c>
      <c r="M87" s="3" t="b">
        <f>FALSE()</f>
        <v>0</v>
      </c>
      <c r="N87" s="5">
        <v>1500000</v>
      </c>
      <c r="O87" s="2" t="s">
        <v>24</v>
      </c>
      <c r="P87" s="2" t="s">
        <v>182</v>
      </c>
      <c r="Q87" s="2" t="s">
        <v>181</v>
      </c>
      <c r="R87" s="2" t="s">
        <v>23</v>
      </c>
    </row>
    <row r="88" spans="1:18" x14ac:dyDescent="0.25">
      <c r="A88" s="2" t="s">
        <v>18</v>
      </c>
      <c r="B88" s="2" t="s">
        <v>19</v>
      </c>
      <c r="C88" s="2" t="s">
        <v>183</v>
      </c>
      <c r="D88" s="2" t="s">
        <v>21</v>
      </c>
      <c r="E88" s="3" t="b">
        <f>TRUE()</f>
        <v>1</v>
      </c>
      <c r="F88" s="4"/>
      <c r="G88" s="4">
        <v>46328</v>
      </c>
      <c r="H88" s="4">
        <v>46358</v>
      </c>
      <c r="I88" s="4">
        <v>46358</v>
      </c>
      <c r="J88" s="2" t="s">
        <v>184</v>
      </c>
      <c r="K88" s="2" t="s">
        <v>23</v>
      </c>
      <c r="L88" s="5">
        <v>0</v>
      </c>
      <c r="M88" s="3" t="b">
        <f>FALSE()</f>
        <v>0</v>
      </c>
      <c r="N88" s="5">
        <v>2700000</v>
      </c>
      <c r="O88" s="2" t="s">
        <v>24</v>
      </c>
      <c r="P88" s="2" t="s">
        <v>55</v>
      </c>
      <c r="Q88" s="2" t="s">
        <v>184</v>
      </c>
      <c r="R88" s="2" t="s">
        <v>23</v>
      </c>
    </row>
    <row r="89" spans="1:18" x14ac:dyDescent="0.25">
      <c r="A89" s="2" t="s">
        <v>18</v>
      </c>
      <c r="B89" s="2" t="s">
        <v>19</v>
      </c>
      <c r="C89" s="2" t="s">
        <v>183</v>
      </c>
      <c r="D89" s="2" t="s">
        <v>21</v>
      </c>
      <c r="E89" s="3" t="b">
        <f>TRUE()</f>
        <v>1</v>
      </c>
      <c r="F89" s="4"/>
      <c r="G89" s="4">
        <v>46348</v>
      </c>
      <c r="H89" s="4">
        <v>46378</v>
      </c>
      <c r="I89" s="4">
        <v>46378</v>
      </c>
      <c r="J89" s="2" t="s">
        <v>184</v>
      </c>
      <c r="K89" s="2" t="s">
        <v>23</v>
      </c>
      <c r="L89" s="5">
        <v>0</v>
      </c>
      <c r="M89" s="3" t="b">
        <f>FALSE()</f>
        <v>0</v>
      </c>
      <c r="N89" s="5">
        <v>900000</v>
      </c>
      <c r="O89" s="2" t="s">
        <v>24</v>
      </c>
      <c r="P89" s="2" t="s">
        <v>55</v>
      </c>
      <c r="Q89" s="2" t="s">
        <v>184</v>
      </c>
      <c r="R89" s="2" t="s">
        <v>23</v>
      </c>
    </row>
    <row r="90" spans="1:18" x14ac:dyDescent="0.25">
      <c r="A90" s="2" t="s">
        <v>18</v>
      </c>
      <c r="B90" s="2" t="s">
        <v>19</v>
      </c>
      <c r="C90" s="2" t="s">
        <v>183</v>
      </c>
      <c r="D90" s="2" t="s">
        <v>21</v>
      </c>
      <c r="E90" s="3" t="b">
        <f>TRUE()</f>
        <v>1</v>
      </c>
      <c r="F90" s="4"/>
      <c r="G90" s="4">
        <v>46354</v>
      </c>
      <c r="H90" s="4">
        <v>46384</v>
      </c>
      <c r="I90" s="4">
        <v>46384</v>
      </c>
      <c r="J90" s="2" t="s">
        <v>184</v>
      </c>
      <c r="K90" s="2" t="s">
        <v>23</v>
      </c>
      <c r="L90" s="5">
        <v>0</v>
      </c>
      <c r="M90" s="3" t="b">
        <f>FALSE()</f>
        <v>0</v>
      </c>
      <c r="N90" s="5">
        <v>300000</v>
      </c>
      <c r="O90" s="2" t="s">
        <v>24</v>
      </c>
      <c r="P90" s="2" t="s">
        <v>55</v>
      </c>
      <c r="Q90" s="2" t="s">
        <v>184</v>
      </c>
      <c r="R90" s="2" t="s">
        <v>23</v>
      </c>
    </row>
    <row r="91" spans="1:18" x14ac:dyDescent="0.25">
      <c r="A91" s="2" t="s">
        <v>18</v>
      </c>
      <c r="B91" s="2" t="s">
        <v>19</v>
      </c>
      <c r="C91" s="2" t="s">
        <v>183</v>
      </c>
      <c r="D91" s="2" t="s">
        <v>21</v>
      </c>
      <c r="E91" s="3" t="b">
        <f>TRUE()</f>
        <v>1</v>
      </c>
      <c r="F91" s="4"/>
      <c r="G91" s="4">
        <v>46355</v>
      </c>
      <c r="H91" s="4">
        <v>46385</v>
      </c>
      <c r="I91" s="4">
        <v>46385</v>
      </c>
      <c r="J91" s="2" t="s">
        <v>184</v>
      </c>
      <c r="K91" s="2" t="s">
        <v>23</v>
      </c>
      <c r="L91" s="5">
        <v>0</v>
      </c>
      <c r="M91" s="3" t="b">
        <f>FALSE()</f>
        <v>0</v>
      </c>
      <c r="N91" s="5">
        <v>150000</v>
      </c>
      <c r="O91" s="2" t="s">
        <v>24</v>
      </c>
      <c r="P91" s="2" t="s">
        <v>55</v>
      </c>
      <c r="Q91" s="2" t="s">
        <v>184</v>
      </c>
      <c r="R91" s="2" t="s">
        <v>23</v>
      </c>
    </row>
    <row r="92" spans="1:18" x14ac:dyDescent="0.25">
      <c r="A92" s="2" t="s">
        <v>18</v>
      </c>
      <c r="B92" s="2" t="s">
        <v>19</v>
      </c>
      <c r="C92" s="2" t="s">
        <v>185</v>
      </c>
      <c r="D92" s="2" t="s">
        <v>21</v>
      </c>
      <c r="E92" s="3" t="b">
        <f>TRUE()</f>
        <v>1</v>
      </c>
      <c r="F92" s="4"/>
      <c r="G92" s="4">
        <v>46322</v>
      </c>
      <c r="H92" s="4">
        <v>46352</v>
      </c>
      <c r="I92" s="4">
        <v>46352</v>
      </c>
      <c r="J92" s="2" t="s">
        <v>186</v>
      </c>
      <c r="K92" s="2" t="s">
        <v>23</v>
      </c>
      <c r="L92" s="5">
        <v>0</v>
      </c>
      <c r="M92" s="3" t="b">
        <f>FALSE()</f>
        <v>0</v>
      </c>
      <c r="N92" s="5">
        <v>3150000</v>
      </c>
      <c r="O92" s="2" t="s">
        <v>24</v>
      </c>
      <c r="P92" s="2" t="s">
        <v>55</v>
      </c>
      <c r="Q92" s="2" t="s">
        <v>186</v>
      </c>
      <c r="R92" s="2" t="s">
        <v>23</v>
      </c>
    </row>
    <row r="93" spans="1:18" x14ac:dyDescent="0.25">
      <c r="A93" s="2" t="s">
        <v>18</v>
      </c>
      <c r="B93" s="2" t="s">
        <v>19</v>
      </c>
      <c r="C93" s="2" t="s">
        <v>185</v>
      </c>
      <c r="D93" s="2" t="s">
        <v>21</v>
      </c>
      <c r="E93" s="3" t="b">
        <f>TRUE()</f>
        <v>1</v>
      </c>
      <c r="F93" s="4"/>
      <c r="G93" s="4">
        <v>46344</v>
      </c>
      <c r="H93" s="4">
        <v>46374</v>
      </c>
      <c r="I93" s="4">
        <v>46374</v>
      </c>
      <c r="J93" s="2" t="s">
        <v>186</v>
      </c>
      <c r="K93" s="2" t="s">
        <v>23</v>
      </c>
      <c r="L93" s="5">
        <v>0</v>
      </c>
      <c r="M93" s="3" t="b">
        <f>FALSE()</f>
        <v>0</v>
      </c>
      <c r="N93" s="5">
        <v>900000</v>
      </c>
      <c r="O93" s="2" t="s">
        <v>24</v>
      </c>
      <c r="P93" s="2" t="s">
        <v>55</v>
      </c>
      <c r="Q93" s="2" t="s">
        <v>186</v>
      </c>
      <c r="R93" s="2" t="s">
        <v>23</v>
      </c>
    </row>
    <row r="94" spans="1:18" x14ac:dyDescent="0.25">
      <c r="A94" s="2" t="s">
        <v>18</v>
      </c>
      <c r="B94" s="2" t="s">
        <v>19</v>
      </c>
      <c r="C94" s="2" t="s">
        <v>185</v>
      </c>
      <c r="D94" s="2" t="s">
        <v>21</v>
      </c>
      <c r="E94" s="3" t="b">
        <f>TRUE()</f>
        <v>1</v>
      </c>
      <c r="F94" s="4"/>
      <c r="G94" s="4">
        <v>46347</v>
      </c>
      <c r="H94" s="4">
        <v>46377</v>
      </c>
      <c r="I94" s="4">
        <v>46377</v>
      </c>
      <c r="J94" s="2" t="s">
        <v>186</v>
      </c>
      <c r="K94" s="2" t="s">
        <v>23</v>
      </c>
      <c r="L94" s="5">
        <v>0</v>
      </c>
      <c r="M94" s="3" t="b">
        <f>FALSE()</f>
        <v>0</v>
      </c>
      <c r="N94" s="5">
        <v>2550000</v>
      </c>
      <c r="O94" s="2" t="s">
        <v>24</v>
      </c>
      <c r="P94" s="2" t="s">
        <v>55</v>
      </c>
      <c r="Q94" s="2" t="s">
        <v>186</v>
      </c>
      <c r="R94" s="2" t="s">
        <v>23</v>
      </c>
    </row>
    <row r="95" spans="1:18" x14ac:dyDescent="0.25">
      <c r="A95" s="2" t="s">
        <v>18</v>
      </c>
      <c r="B95" s="2" t="s">
        <v>19</v>
      </c>
      <c r="C95" s="2" t="s">
        <v>185</v>
      </c>
      <c r="D95" s="2" t="s">
        <v>21</v>
      </c>
      <c r="E95" s="3" t="b">
        <f>TRUE()</f>
        <v>1</v>
      </c>
      <c r="F95" s="4"/>
      <c r="G95" s="4">
        <v>46348</v>
      </c>
      <c r="H95" s="4">
        <v>46378</v>
      </c>
      <c r="I95" s="4">
        <v>46378</v>
      </c>
      <c r="J95" s="2" t="s">
        <v>186</v>
      </c>
      <c r="K95" s="2" t="s">
        <v>23</v>
      </c>
      <c r="L95" s="5">
        <v>0</v>
      </c>
      <c r="M95" s="3" t="b">
        <f>FALSE()</f>
        <v>0</v>
      </c>
      <c r="N95" s="5">
        <v>840000</v>
      </c>
      <c r="O95" s="2" t="s">
        <v>24</v>
      </c>
      <c r="P95" s="2" t="s">
        <v>55</v>
      </c>
      <c r="Q95" s="2" t="s">
        <v>186</v>
      </c>
      <c r="R95" s="2" t="s">
        <v>23</v>
      </c>
    </row>
    <row r="96" spans="1:18" x14ac:dyDescent="0.25">
      <c r="A96" s="2" t="s">
        <v>18</v>
      </c>
      <c r="B96" s="2" t="s">
        <v>19</v>
      </c>
      <c r="C96" s="2" t="s">
        <v>185</v>
      </c>
      <c r="D96" s="2" t="s">
        <v>21</v>
      </c>
      <c r="E96" s="3" t="b">
        <f>TRUE()</f>
        <v>1</v>
      </c>
      <c r="F96" s="4"/>
      <c r="G96" s="4">
        <v>46350</v>
      </c>
      <c r="H96" s="4">
        <v>46380</v>
      </c>
      <c r="I96" s="4">
        <v>46380</v>
      </c>
      <c r="J96" s="2" t="s">
        <v>186</v>
      </c>
      <c r="K96" s="2" t="s">
        <v>23</v>
      </c>
      <c r="L96" s="5">
        <v>0</v>
      </c>
      <c r="M96" s="3" t="b">
        <f>FALSE()</f>
        <v>0</v>
      </c>
      <c r="N96" s="5">
        <v>630000</v>
      </c>
      <c r="O96" s="2" t="s">
        <v>24</v>
      </c>
      <c r="P96" s="2" t="s">
        <v>55</v>
      </c>
      <c r="Q96" s="2" t="s">
        <v>186</v>
      </c>
      <c r="R96" s="2" t="s">
        <v>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664BC-7DA5-449B-BF1C-C720CB709960}">
  <dimension ref="A1:Q78"/>
  <sheetViews>
    <sheetView zoomScale="70" zoomScaleNormal="70" workbookViewId="0">
      <selection activeCellId="3" sqref="N1:N1048576 J1:J1048576 F1:F1048576 A1:A1048576"/>
    </sheetView>
  </sheetViews>
  <sheetFormatPr defaultRowHeight="15" x14ac:dyDescent="0.25"/>
  <cols>
    <col min="1" max="1" width="11.85546875" customWidth="1"/>
    <col min="2" max="2" width="86.140625" bestFit="1" customWidth="1"/>
    <col min="3" max="3" width="9.42578125" style="11" bestFit="1" customWidth="1"/>
    <col min="4" max="4" width="16.7109375" style="12" customWidth="1"/>
    <col min="5" max="5" width="17.140625" customWidth="1"/>
    <col min="6" max="6" width="11.85546875" customWidth="1"/>
    <col min="7" max="7" width="77" customWidth="1"/>
    <col min="8" max="8" width="14.5703125" style="11" customWidth="1"/>
    <col min="9" max="9" width="16.7109375" customWidth="1"/>
    <col min="10" max="10" width="11.85546875" customWidth="1"/>
    <col min="11" max="11" width="77" style="11" customWidth="1"/>
    <col min="12" max="12" width="14.5703125" customWidth="1"/>
    <col min="13" max="13" width="16.7109375" customWidth="1"/>
    <col min="14" max="14" width="11.85546875" style="11" customWidth="1"/>
    <col min="15" max="15" width="77" customWidth="1"/>
    <col min="16" max="16" width="14.5703125" customWidth="1"/>
    <col min="17" max="17" width="16.7109375" customWidth="1"/>
  </cols>
  <sheetData>
    <row r="1" spans="1:17" s="16" customFormat="1" ht="42.75" customHeight="1" x14ac:dyDescent="0.25">
      <c r="A1" s="13" t="s">
        <v>2</v>
      </c>
      <c r="B1" s="13" t="s">
        <v>9</v>
      </c>
      <c r="C1" s="14" t="s">
        <v>198</v>
      </c>
      <c r="D1" s="14" t="s">
        <v>1091</v>
      </c>
      <c r="E1" s="15" t="s">
        <v>1087</v>
      </c>
      <c r="F1" s="13" t="s">
        <v>346</v>
      </c>
      <c r="G1" s="13" t="s">
        <v>347</v>
      </c>
      <c r="H1" s="14" t="s">
        <v>1084</v>
      </c>
      <c r="I1" s="14" t="s">
        <v>1090</v>
      </c>
      <c r="J1" s="13" t="s">
        <v>348</v>
      </c>
      <c r="K1" s="13" t="s">
        <v>349</v>
      </c>
      <c r="L1" s="14" t="s">
        <v>1085</v>
      </c>
      <c r="M1" s="14" t="s">
        <v>1089</v>
      </c>
      <c r="N1" s="13" t="s">
        <v>350</v>
      </c>
      <c r="O1" s="13" t="s">
        <v>351</v>
      </c>
      <c r="P1" s="14" t="s">
        <v>1086</v>
      </c>
      <c r="Q1" s="14" t="s">
        <v>1088</v>
      </c>
    </row>
    <row r="2" spans="1:17" x14ac:dyDescent="0.25">
      <c r="A2" s="9">
        <v>2</v>
      </c>
      <c r="B2" t="s">
        <v>22</v>
      </c>
      <c r="C2" s="11">
        <v>0</v>
      </c>
      <c r="D2">
        <f>IFERROR(VLOOKUP(TEXT(A2,"000000"),Artikli!$A:$K,11,FALSE),"")</f>
        <v>8.75</v>
      </c>
      <c r="E2" s="12">
        <v>525</v>
      </c>
      <c r="F2" s="9">
        <v>89</v>
      </c>
      <c r="G2" s="9" t="s">
        <v>212</v>
      </c>
      <c r="H2" s="11">
        <v>793.95</v>
      </c>
      <c r="I2">
        <f>IFERROR(VLOOKUP(TEXT(F2,"000000"),Artikli!$A:$K,11,FALSE),"")</f>
        <v>5.95</v>
      </c>
      <c r="J2" s="9"/>
      <c r="K2" s="9"/>
      <c r="L2" s="11"/>
      <c r="M2" t="str">
        <f>IFERROR(VLOOKUP(TEXT(J2,"000000"),Artikli!$A:$K,11,FALSE),"")</f>
        <v/>
      </c>
      <c r="N2" s="9"/>
      <c r="O2" s="9"/>
      <c r="P2" s="11"/>
      <c r="Q2" t="str">
        <f>IFERROR(VLOOKUP(TEXT(N2,"000000"),Artikli!$A:$K,11,FALSE),"")</f>
        <v/>
      </c>
    </row>
    <row r="3" spans="1:17" x14ac:dyDescent="0.25">
      <c r="A3" s="9">
        <v>24</v>
      </c>
      <c r="B3" t="s">
        <v>28</v>
      </c>
      <c r="C3" s="11">
        <v>7.9375</v>
      </c>
      <c r="D3">
        <f>IFERROR(VLOOKUP(TEXT(A3,"000000"),Artikli!$A:$K,11,FALSE),"")</f>
        <v>7.8198400000000001</v>
      </c>
      <c r="E3" s="12">
        <v>400</v>
      </c>
      <c r="F3" s="9">
        <v>7</v>
      </c>
      <c r="G3" s="9" t="s">
        <v>251</v>
      </c>
      <c r="H3" s="11">
        <v>13.5</v>
      </c>
      <c r="I3">
        <f>IFERROR(VLOOKUP(TEXT(F3,"000000"),Artikli!$A:$K,11,FALSE),"")</f>
        <v>6.8496300000000003</v>
      </c>
      <c r="J3" s="9">
        <v>106</v>
      </c>
      <c r="K3" s="9" t="s">
        <v>227</v>
      </c>
      <c r="L3" s="11">
        <v>192.39997</v>
      </c>
      <c r="M3">
        <f>IFERROR(VLOOKUP(TEXT(J3,"000000"),Artikli!$A:$K,11,FALSE),"")</f>
        <v>6.95</v>
      </c>
      <c r="N3" s="9"/>
      <c r="O3" s="9"/>
      <c r="P3" s="11"/>
      <c r="Q3" t="str">
        <f>IFERROR(VLOOKUP(TEXT(N3,"000000"),Artikli!$A:$K,11,FALSE),"")</f>
        <v/>
      </c>
    </row>
    <row r="4" spans="1:17" x14ac:dyDescent="0.25">
      <c r="A4" s="9">
        <v>25</v>
      </c>
      <c r="B4" t="s">
        <v>30</v>
      </c>
      <c r="C4" s="11">
        <v>50</v>
      </c>
      <c r="D4">
        <f>IFERROR(VLOOKUP(TEXT(A4,"000000"),Artikli!$A:$K,11,FALSE),"")</f>
        <v>40</v>
      </c>
      <c r="E4" s="12">
        <v>40</v>
      </c>
      <c r="F4" s="9"/>
      <c r="G4" s="9"/>
      <c r="I4" t="str">
        <f>IFERROR(VLOOKUP(TEXT(F4,"000000"),Artikli!$A:$K,11,FALSE),"")</f>
        <v/>
      </c>
      <c r="J4" s="9"/>
      <c r="K4" s="9"/>
      <c r="L4" s="11"/>
      <c r="M4" t="str">
        <f>IFERROR(VLOOKUP(TEXT(J4,"000000"),Artikli!$A:$K,11,FALSE),"")</f>
        <v/>
      </c>
      <c r="N4" s="9"/>
      <c r="O4" s="9"/>
      <c r="P4" s="11"/>
      <c r="Q4" t="str">
        <f>IFERROR(VLOOKUP(TEXT(N4,"000000"),Artikli!$A:$K,11,FALSE),"")</f>
        <v/>
      </c>
    </row>
    <row r="5" spans="1:17" x14ac:dyDescent="0.25">
      <c r="A5" s="9">
        <v>30</v>
      </c>
      <c r="B5" t="s">
        <v>32</v>
      </c>
      <c r="C5" s="11">
        <v>130</v>
      </c>
      <c r="D5">
        <f>IFERROR(VLOOKUP(TEXT(A5,"000000"),Artikli!$A:$K,11,FALSE),"")</f>
        <v>6.6</v>
      </c>
      <c r="E5" s="12">
        <v>360</v>
      </c>
      <c r="F5" s="9"/>
      <c r="G5" s="9"/>
      <c r="I5" t="str">
        <f>IFERROR(VLOOKUP(TEXT(F5,"000000"),Artikli!$A:$K,11,FALSE),"")</f>
        <v/>
      </c>
      <c r="J5" s="9"/>
      <c r="K5" s="9"/>
      <c r="L5" s="11"/>
      <c r="M5" t="str">
        <f>IFERROR(VLOOKUP(TEXT(J5,"000000"),Artikli!$A:$K,11,FALSE),"")</f>
        <v/>
      </c>
      <c r="N5" s="9"/>
      <c r="O5" s="9"/>
      <c r="P5" s="11"/>
      <c r="Q5" t="str">
        <f>IFERROR(VLOOKUP(TEXT(N5,"000000"),Artikli!$A:$K,11,FALSE),"")</f>
        <v/>
      </c>
    </row>
    <row r="6" spans="1:17" x14ac:dyDescent="0.25">
      <c r="A6" s="9">
        <v>32</v>
      </c>
      <c r="B6" t="s">
        <v>34</v>
      </c>
      <c r="C6" s="11">
        <v>449.77499999999998</v>
      </c>
      <c r="D6">
        <f>IFERROR(VLOOKUP(TEXT(A6,"000000"),Artikli!$A:$K,11,FALSE),"")</f>
        <v>4.1399999999999997</v>
      </c>
      <c r="E6" s="12">
        <v>500</v>
      </c>
      <c r="F6" s="9">
        <v>98</v>
      </c>
      <c r="G6" s="9" t="s">
        <v>255</v>
      </c>
      <c r="H6" s="11">
        <v>0</v>
      </c>
      <c r="I6">
        <f>IFERROR(VLOOKUP(TEXT(F6,"000000"),Artikli!$A:$K,11,FALSE),"")</f>
        <v>0</v>
      </c>
      <c r="J6" s="9">
        <v>102</v>
      </c>
      <c r="K6" s="9" t="s">
        <v>257</v>
      </c>
      <c r="L6" s="11">
        <v>560.79999999999995</v>
      </c>
      <c r="M6">
        <f>IFERROR(VLOOKUP(TEXT(J6,"000000"),Artikli!$A:$K,11,FALSE),"")</f>
        <v>5.45</v>
      </c>
      <c r="N6" s="9">
        <v>156</v>
      </c>
      <c r="O6" s="9" t="s">
        <v>124</v>
      </c>
      <c r="P6" s="11">
        <v>3.7083499999999998</v>
      </c>
      <c r="Q6">
        <f>IFERROR(VLOOKUP(TEXT(N6,"000000"),Artikli!$A:$K,11,FALSE),"")</f>
        <v>5.9952699999999997</v>
      </c>
    </row>
    <row r="7" spans="1:17" x14ac:dyDescent="0.25">
      <c r="A7" s="9">
        <v>34</v>
      </c>
      <c r="B7" t="s">
        <v>36</v>
      </c>
      <c r="C7" s="11">
        <v>104.86</v>
      </c>
      <c r="D7">
        <f>IFERROR(VLOOKUP(TEXT(A7,"000000"),Artikli!$A:$K,11,FALSE),"")</f>
        <v>13.340249999999999</v>
      </c>
      <c r="E7" s="12">
        <v>75</v>
      </c>
      <c r="F7" s="9"/>
      <c r="G7" s="9"/>
      <c r="I7" t="str">
        <f>IFERROR(VLOOKUP(TEXT(F7,"000000"),Artikli!$A:$K,11,FALSE),"")</f>
        <v/>
      </c>
      <c r="J7" s="9"/>
      <c r="K7" s="9"/>
      <c r="L7" s="11"/>
      <c r="M7" t="str">
        <f>IFERROR(VLOOKUP(TEXT(J7,"000000"),Artikli!$A:$K,11,FALSE),"")</f>
        <v/>
      </c>
      <c r="N7" s="9"/>
      <c r="O7" s="9"/>
      <c r="P7" s="11"/>
      <c r="Q7" t="str">
        <f>IFERROR(VLOOKUP(TEXT(N7,"000000"),Artikli!$A:$K,11,FALSE),"")</f>
        <v/>
      </c>
    </row>
    <row r="8" spans="1:17" x14ac:dyDescent="0.25">
      <c r="A8" s="9">
        <v>35</v>
      </c>
      <c r="B8" t="s">
        <v>38</v>
      </c>
      <c r="C8" s="11">
        <v>283.18</v>
      </c>
      <c r="D8">
        <f>IFERROR(VLOOKUP(TEXT(A8,"000000"),Artikli!$A:$K,11,FALSE),"")</f>
        <v>184</v>
      </c>
      <c r="E8" s="12">
        <v>275</v>
      </c>
      <c r="F8" s="9">
        <v>185</v>
      </c>
      <c r="G8" s="9" t="s">
        <v>260</v>
      </c>
      <c r="H8" s="11">
        <v>0</v>
      </c>
      <c r="I8">
        <f>IFERROR(VLOOKUP(TEXT(F8,"000000"),Artikli!$A:$K,11,FALSE),"")</f>
        <v>0</v>
      </c>
      <c r="J8" s="9"/>
      <c r="K8" s="9"/>
      <c r="L8" s="11"/>
      <c r="M8" t="str">
        <f>IFERROR(VLOOKUP(TEXT(J8,"000000"),Artikli!$A:$K,11,FALSE),"")</f>
        <v/>
      </c>
      <c r="N8" s="9"/>
      <c r="O8" s="9"/>
      <c r="P8" s="11"/>
      <c r="Q8" t="str">
        <f>IFERROR(VLOOKUP(TEXT(N8,"000000"),Artikli!$A:$K,11,FALSE),"")</f>
        <v/>
      </c>
    </row>
    <row r="9" spans="1:17" x14ac:dyDescent="0.25">
      <c r="A9" s="9">
        <v>36</v>
      </c>
      <c r="B9" t="s">
        <v>40</v>
      </c>
      <c r="C9" s="11">
        <v>112</v>
      </c>
      <c r="D9">
        <f>IFERROR(VLOOKUP(TEXT(A9,"000000"),Artikli!$A:$K,11,FALSE),"")</f>
        <v>74.5</v>
      </c>
      <c r="E9" s="12">
        <v>30</v>
      </c>
      <c r="F9" s="9"/>
      <c r="G9" s="9"/>
      <c r="I9" t="str">
        <f>IFERROR(VLOOKUP(TEXT(F9,"000000"),Artikli!$A:$K,11,FALSE),"")</f>
        <v/>
      </c>
      <c r="J9" s="9"/>
      <c r="K9" s="9"/>
      <c r="L9" s="11"/>
      <c r="M9" t="str">
        <f>IFERROR(VLOOKUP(TEXT(J9,"000000"),Artikli!$A:$K,11,FALSE),"")</f>
        <v/>
      </c>
      <c r="N9" s="9"/>
      <c r="O9" s="9"/>
      <c r="P9" s="11"/>
      <c r="Q9" t="str">
        <f>IFERROR(VLOOKUP(TEXT(N9,"000000"),Artikli!$A:$K,11,FALSE),"")</f>
        <v/>
      </c>
    </row>
    <row r="10" spans="1:17" x14ac:dyDescent="0.25">
      <c r="A10" s="9">
        <v>47</v>
      </c>
      <c r="B10" t="s">
        <v>42</v>
      </c>
      <c r="C10" s="11">
        <v>457</v>
      </c>
      <c r="D10">
        <f>IFERROR(VLOOKUP(TEXT(A10,"000000"),Artikli!$A:$K,11,FALSE),"")</f>
        <v>26.6</v>
      </c>
      <c r="E10" s="12">
        <v>450</v>
      </c>
      <c r="F10" s="9"/>
      <c r="G10" s="9"/>
      <c r="I10" t="str">
        <f>IFERROR(VLOOKUP(TEXT(F10,"000000"),Artikli!$A:$K,11,FALSE),"")</f>
        <v/>
      </c>
      <c r="J10" s="9"/>
      <c r="K10" s="9"/>
      <c r="L10" s="11"/>
      <c r="M10" t="str">
        <f>IFERROR(VLOOKUP(TEXT(J10,"000000"),Artikli!$A:$K,11,FALSE),"")</f>
        <v/>
      </c>
      <c r="N10" s="9"/>
      <c r="O10" s="9"/>
      <c r="P10" s="11"/>
      <c r="Q10" t="str">
        <f>IFERROR(VLOOKUP(TEXT(N10,"000000"),Artikli!$A:$K,11,FALSE),"")</f>
        <v/>
      </c>
    </row>
    <row r="11" spans="1:17" x14ac:dyDescent="0.25">
      <c r="A11" s="9">
        <v>49</v>
      </c>
      <c r="B11" t="s">
        <v>44</v>
      </c>
      <c r="C11" s="11">
        <v>101</v>
      </c>
      <c r="D11">
        <f>IFERROR(VLOOKUP(TEXT(A11,"000000"),Artikli!$A:$K,11,FALSE),"")</f>
        <v>22.76</v>
      </c>
      <c r="E11" s="12">
        <v>100</v>
      </c>
      <c r="F11" s="9"/>
      <c r="G11" s="9"/>
      <c r="I11" t="str">
        <f>IFERROR(VLOOKUP(TEXT(F11,"000000"),Artikli!$A:$K,11,FALSE),"")</f>
        <v/>
      </c>
      <c r="J11" s="9"/>
      <c r="K11" s="9"/>
      <c r="L11" s="11"/>
      <c r="M11" t="str">
        <f>IFERROR(VLOOKUP(TEXT(J11,"000000"),Artikli!$A:$K,11,FALSE),"")</f>
        <v/>
      </c>
      <c r="N11" s="9"/>
      <c r="O11" s="9"/>
      <c r="P11" s="11"/>
      <c r="Q11" t="str">
        <f>IFERROR(VLOOKUP(TEXT(N11,"000000"),Artikli!$A:$K,11,FALSE),"")</f>
        <v/>
      </c>
    </row>
    <row r="12" spans="1:17" x14ac:dyDescent="0.25">
      <c r="A12" s="9">
        <v>51</v>
      </c>
      <c r="B12" t="s">
        <v>46</v>
      </c>
      <c r="C12" s="11">
        <v>100</v>
      </c>
      <c r="D12">
        <f>IFERROR(VLOOKUP(TEXT(A12,"000000"),Artikli!$A:$K,11,FALSE),"")</f>
        <v>22.7</v>
      </c>
      <c r="E12" s="12">
        <v>100</v>
      </c>
      <c r="F12" s="9"/>
      <c r="G12" s="9"/>
      <c r="I12" t="str">
        <f>IFERROR(VLOOKUP(TEXT(F12,"000000"),Artikli!$A:$K,11,FALSE),"")</f>
        <v/>
      </c>
      <c r="J12" s="9"/>
      <c r="K12" s="9"/>
      <c r="L12" s="11"/>
      <c r="M12" t="str">
        <f>IFERROR(VLOOKUP(TEXT(J12,"000000"),Artikli!$A:$K,11,FALSE),"")</f>
        <v/>
      </c>
      <c r="N12" s="9"/>
      <c r="O12" s="9"/>
      <c r="P12" s="11"/>
      <c r="Q12" t="str">
        <f>IFERROR(VLOOKUP(TEXT(N12,"000000"),Artikli!$A:$K,11,FALSE),"")</f>
        <v/>
      </c>
    </row>
    <row r="13" spans="1:17" x14ac:dyDescent="0.25">
      <c r="A13" s="9">
        <v>53</v>
      </c>
      <c r="B13" t="s">
        <v>48</v>
      </c>
      <c r="C13" s="11">
        <v>111.25</v>
      </c>
      <c r="D13">
        <f>IFERROR(VLOOKUP(TEXT(A13,"000000"),Artikli!$A:$K,11,FALSE),"")</f>
        <v>11.76</v>
      </c>
      <c r="E13" s="12">
        <v>50</v>
      </c>
      <c r="F13" s="9">
        <v>112</v>
      </c>
      <c r="G13" s="9" t="s">
        <v>283</v>
      </c>
      <c r="H13" s="11">
        <v>0</v>
      </c>
      <c r="I13">
        <f>IFERROR(VLOOKUP(TEXT(F13,"000000"),Artikli!$A:$K,11,FALSE),"")</f>
        <v>0</v>
      </c>
      <c r="J13" s="9"/>
      <c r="K13" s="9"/>
      <c r="L13" s="11"/>
      <c r="M13" t="str">
        <f>IFERROR(VLOOKUP(TEXT(J13,"000000"),Artikli!$A:$K,11,FALSE),"")</f>
        <v/>
      </c>
      <c r="N13" s="9"/>
      <c r="O13" s="9"/>
      <c r="P13" s="11"/>
      <c r="Q13" t="str">
        <f>IFERROR(VLOOKUP(TEXT(N13,"000000"),Artikli!$A:$K,11,FALSE),"")</f>
        <v/>
      </c>
    </row>
    <row r="14" spans="1:17" x14ac:dyDescent="0.25">
      <c r="A14" s="9">
        <v>55</v>
      </c>
      <c r="B14" t="s">
        <v>50</v>
      </c>
      <c r="C14" s="11">
        <v>0</v>
      </c>
      <c r="D14">
        <f>IFERROR(VLOOKUP(TEXT(A14,"000000"),Artikli!$A:$K,11,FALSE),"")</f>
        <v>7.7515799999999997</v>
      </c>
      <c r="E14" s="12">
        <v>1500</v>
      </c>
      <c r="F14" s="9">
        <v>107</v>
      </c>
      <c r="G14" s="9" t="s">
        <v>285</v>
      </c>
      <c r="H14" s="11">
        <v>405.05</v>
      </c>
      <c r="I14">
        <f>IFERROR(VLOOKUP(TEXT(F14,"000000"),Artikli!$A:$K,11,FALSE),"")</f>
        <v>5.65</v>
      </c>
      <c r="J14" s="9"/>
      <c r="K14" s="9"/>
      <c r="L14" s="11"/>
      <c r="M14" t="str">
        <f>IFERROR(VLOOKUP(TEXT(J14,"000000"),Artikli!$A:$K,11,FALSE),"")</f>
        <v/>
      </c>
      <c r="N14" s="9"/>
      <c r="O14" s="9"/>
      <c r="P14" s="11"/>
      <c r="Q14" t="str">
        <f>IFERROR(VLOOKUP(TEXT(N14,"000000"),Artikli!$A:$K,11,FALSE),"")</f>
        <v/>
      </c>
    </row>
    <row r="15" spans="1:17" x14ac:dyDescent="0.25">
      <c r="A15" s="9">
        <v>56</v>
      </c>
      <c r="B15" t="s">
        <v>52</v>
      </c>
      <c r="C15" s="11">
        <v>25.001740000000002</v>
      </c>
      <c r="D15">
        <f>IFERROR(VLOOKUP(TEXT(A15,"000000"),Artikli!$A:$K,11,FALSE),"")</f>
        <v>6.97</v>
      </c>
      <c r="E15" s="12">
        <v>25</v>
      </c>
      <c r="F15" s="9"/>
      <c r="G15" s="9"/>
      <c r="I15" t="str">
        <f>IFERROR(VLOOKUP(TEXT(F15,"000000"),Artikli!$A:$K,11,FALSE),"")</f>
        <v/>
      </c>
      <c r="J15" s="9"/>
      <c r="K15" s="9"/>
      <c r="L15" s="11"/>
      <c r="M15" t="str">
        <f>IFERROR(VLOOKUP(TEXT(J15,"000000"),Artikli!$A:$K,11,FALSE),"")</f>
        <v/>
      </c>
      <c r="N15" s="9"/>
      <c r="O15" s="9"/>
      <c r="P15" s="11"/>
      <c r="Q15" t="str">
        <f>IFERROR(VLOOKUP(TEXT(N15,"000000"),Artikli!$A:$K,11,FALSE),"")</f>
        <v/>
      </c>
    </row>
    <row r="16" spans="1:17" x14ac:dyDescent="0.25">
      <c r="A16" s="9">
        <v>60</v>
      </c>
      <c r="B16" t="s">
        <v>54</v>
      </c>
      <c r="C16" s="11">
        <v>0</v>
      </c>
      <c r="D16">
        <f>IFERROR(VLOOKUP(TEXT(A16,"000000"),Artikli!$A:$K,11,FALSE),"")</f>
        <v>3.95059</v>
      </c>
      <c r="E16" s="12">
        <v>50</v>
      </c>
      <c r="F16" s="9"/>
      <c r="G16" s="9"/>
      <c r="I16" t="str">
        <f>IFERROR(VLOOKUP(TEXT(F16,"000000"),Artikli!$A:$K,11,FALSE),"")</f>
        <v/>
      </c>
      <c r="J16" s="9"/>
      <c r="K16" s="9"/>
      <c r="L16" s="11"/>
      <c r="M16" t="str">
        <f>IFERROR(VLOOKUP(TEXT(J16,"000000"),Artikli!$A:$K,11,FALSE),"")</f>
        <v/>
      </c>
      <c r="N16" s="9"/>
      <c r="O16" s="9"/>
      <c r="P16" s="11"/>
      <c r="Q16" t="str">
        <f>IFERROR(VLOOKUP(TEXT(N16,"000000"),Artikli!$A:$K,11,FALSE),"")</f>
        <v/>
      </c>
    </row>
    <row r="17" spans="1:17" x14ac:dyDescent="0.25">
      <c r="A17" s="9">
        <v>61</v>
      </c>
      <c r="B17" t="s">
        <v>57</v>
      </c>
      <c r="C17" s="11">
        <v>79.86</v>
      </c>
      <c r="D17">
        <f>IFERROR(VLOOKUP(TEXT(A17,"000000"),Artikli!$A:$K,11,FALSE),"")</f>
        <v>16.820160000000001</v>
      </c>
      <c r="E17" s="12">
        <v>75</v>
      </c>
      <c r="F17" s="9"/>
      <c r="G17" s="9"/>
      <c r="I17" t="str">
        <f>IFERROR(VLOOKUP(TEXT(F17,"000000"),Artikli!$A:$K,11,FALSE),"")</f>
        <v/>
      </c>
      <c r="J17" s="9"/>
      <c r="K17" s="9"/>
      <c r="L17" s="11"/>
      <c r="M17" t="str">
        <f>IFERROR(VLOOKUP(TEXT(J17,"000000"),Artikli!$A:$K,11,FALSE),"")</f>
        <v/>
      </c>
      <c r="N17" s="9"/>
      <c r="O17" s="9"/>
      <c r="P17" s="11"/>
      <c r="Q17" t="str">
        <f>IFERROR(VLOOKUP(TEXT(N17,"000000"),Artikli!$A:$K,11,FALSE),"")</f>
        <v/>
      </c>
    </row>
    <row r="18" spans="1:17" x14ac:dyDescent="0.25">
      <c r="A18" s="9">
        <v>63</v>
      </c>
      <c r="B18" t="s">
        <v>59</v>
      </c>
      <c r="C18" s="11">
        <v>24</v>
      </c>
      <c r="D18">
        <f>IFERROR(VLOOKUP(TEXT(A18,"000000"),Artikli!$A:$K,11,FALSE),"")</f>
        <v>27</v>
      </c>
      <c r="E18" s="12">
        <v>25</v>
      </c>
      <c r="F18" s="9"/>
      <c r="G18" s="9"/>
      <c r="I18" t="str">
        <f>IFERROR(VLOOKUP(TEXT(F18,"000000"),Artikli!$A:$K,11,FALSE),"")</f>
        <v/>
      </c>
      <c r="J18" s="9"/>
      <c r="K18" s="9"/>
      <c r="L18" s="11"/>
      <c r="M18" t="str">
        <f>IFERROR(VLOOKUP(TEXT(J18,"000000"),Artikli!$A:$K,11,FALSE),"")</f>
        <v/>
      </c>
      <c r="N18" s="9"/>
      <c r="O18" s="9"/>
      <c r="P18" s="11"/>
      <c r="Q18" t="str">
        <f>IFERROR(VLOOKUP(TEXT(N18,"000000"),Artikli!$A:$K,11,FALSE),"")</f>
        <v/>
      </c>
    </row>
    <row r="19" spans="1:17" x14ac:dyDescent="0.25">
      <c r="A19" s="9">
        <v>68</v>
      </c>
      <c r="B19" t="s">
        <v>61</v>
      </c>
      <c r="C19" s="11">
        <v>4</v>
      </c>
      <c r="D19">
        <f>IFERROR(VLOOKUP(TEXT(A19,"000000"),Artikli!$A:$K,11,FALSE),"")</f>
        <v>30.3</v>
      </c>
      <c r="E19" s="12">
        <v>10</v>
      </c>
      <c r="F19" s="9">
        <v>179</v>
      </c>
      <c r="G19" s="9" t="s">
        <v>291</v>
      </c>
      <c r="H19" s="11">
        <v>361</v>
      </c>
      <c r="I19">
        <f>IFERROR(VLOOKUP(TEXT(F19,"000000"),Artikli!$A:$K,11,FALSE),"")</f>
        <v>0</v>
      </c>
      <c r="J19" s="9"/>
      <c r="K19" s="9"/>
      <c r="L19" s="11"/>
      <c r="M19" t="str">
        <f>IFERROR(VLOOKUP(TEXT(J19,"000000"),Artikli!$A:$K,11,FALSE),"")</f>
        <v/>
      </c>
      <c r="N19" s="9"/>
      <c r="O19" s="9"/>
      <c r="P19" s="11"/>
      <c r="Q19" t="str">
        <f>IFERROR(VLOOKUP(TEXT(N19,"000000"),Artikli!$A:$K,11,FALSE),"")</f>
        <v/>
      </c>
    </row>
    <row r="20" spans="1:17" x14ac:dyDescent="0.25">
      <c r="A20" s="9">
        <v>71</v>
      </c>
      <c r="B20" t="s">
        <v>64</v>
      </c>
      <c r="C20" s="11">
        <v>465</v>
      </c>
      <c r="D20">
        <f>IFERROR(VLOOKUP(TEXT(A20,"000000"),Artikli!$A:$K,11,FALSE),"")</f>
        <v>7.6</v>
      </c>
      <c r="E20" s="12">
        <v>900</v>
      </c>
      <c r="F20" s="9"/>
      <c r="G20" s="9"/>
      <c r="I20" t="str">
        <f>IFERROR(VLOOKUP(TEXT(F20,"000000"),Artikli!$A:$K,11,FALSE),"")</f>
        <v/>
      </c>
      <c r="J20" s="9"/>
      <c r="K20" s="9"/>
      <c r="L20" s="11"/>
      <c r="M20" t="str">
        <f>IFERROR(VLOOKUP(TEXT(J20,"000000"),Artikli!$A:$K,11,FALSE),"")</f>
        <v/>
      </c>
      <c r="N20" s="9"/>
      <c r="O20" s="9"/>
      <c r="P20" s="11"/>
      <c r="Q20" t="str">
        <f>IFERROR(VLOOKUP(TEXT(N20,"000000"),Artikli!$A:$K,11,FALSE),"")</f>
        <v/>
      </c>
    </row>
    <row r="21" spans="1:17" x14ac:dyDescent="0.25">
      <c r="A21" s="9">
        <v>72</v>
      </c>
      <c r="B21" t="s">
        <v>66</v>
      </c>
      <c r="C21" s="11">
        <v>56.25</v>
      </c>
      <c r="D21">
        <f>IFERROR(VLOOKUP(TEXT(A21,"000000"),Artikli!$A:$K,11,FALSE),"")</f>
        <v>21</v>
      </c>
      <c r="E21" s="12">
        <v>600</v>
      </c>
      <c r="F21" s="9"/>
      <c r="G21" s="9"/>
      <c r="I21" t="str">
        <f>IFERROR(VLOOKUP(TEXT(F21,"000000"),Artikli!$A:$K,11,FALSE),"")</f>
        <v/>
      </c>
      <c r="J21" s="9"/>
      <c r="K21" s="9"/>
      <c r="L21" s="11"/>
      <c r="M21" t="str">
        <f>IFERROR(VLOOKUP(TEXT(J21,"000000"),Artikli!$A:$K,11,FALSE),"")</f>
        <v/>
      </c>
      <c r="N21" s="9"/>
      <c r="O21" s="9"/>
      <c r="P21" s="11"/>
      <c r="Q21" t="str">
        <f>IFERROR(VLOOKUP(TEXT(N21,"000000"),Artikli!$A:$K,11,FALSE),"")</f>
        <v/>
      </c>
    </row>
    <row r="22" spans="1:17" x14ac:dyDescent="0.25">
      <c r="A22" s="9">
        <v>73</v>
      </c>
      <c r="B22" t="s">
        <v>68</v>
      </c>
      <c r="C22" s="11">
        <v>265.7482</v>
      </c>
      <c r="D22">
        <f>IFERROR(VLOOKUP(TEXT(A22,"000000"),Artikli!$A:$K,11,FALSE),"")</f>
        <v>82.849990000000005</v>
      </c>
      <c r="E22" s="12">
        <v>375</v>
      </c>
      <c r="F22" s="9"/>
      <c r="G22" s="9"/>
      <c r="I22" t="str">
        <f>IFERROR(VLOOKUP(TEXT(F22,"000000"),Artikli!$A:$K,11,FALSE),"")</f>
        <v/>
      </c>
      <c r="J22" s="9"/>
      <c r="K22" s="9"/>
      <c r="L22" s="11"/>
      <c r="M22" t="str">
        <f>IFERROR(VLOOKUP(TEXT(J22,"000000"),Artikli!$A:$K,11,FALSE),"")</f>
        <v/>
      </c>
      <c r="N22" s="9"/>
      <c r="O22" s="9"/>
      <c r="P22" s="11"/>
      <c r="Q22" t="str">
        <f>IFERROR(VLOOKUP(TEXT(N22,"000000"),Artikli!$A:$K,11,FALSE),"")</f>
        <v/>
      </c>
    </row>
    <row r="23" spans="1:17" x14ac:dyDescent="0.25">
      <c r="A23" s="9">
        <v>74</v>
      </c>
      <c r="B23" t="s">
        <v>70</v>
      </c>
      <c r="C23" s="11">
        <v>0</v>
      </c>
      <c r="D23">
        <f>IFERROR(VLOOKUP(TEXT(A23,"000000"),Artikli!$A:$K,11,FALSE),"")</f>
        <v>38</v>
      </c>
      <c r="E23" s="12">
        <v>275</v>
      </c>
      <c r="F23" s="9">
        <v>121</v>
      </c>
      <c r="G23" s="9" t="s">
        <v>293</v>
      </c>
      <c r="H23" s="11">
        <v>253.125</v>
      </c>
      <c r="I23">
        <f>IFERROR(VLOOKUP(TEXT(F23,"000000"),Artikli!$A:$K,11,FALSE),"")</f>
        <v>34</v>
      </c>
      <c r="J23" s="9"/>
      <c r="K23" s="9"/>
      <c r="L23" s="11"/>
      <c r="M23" t="str">
        <f>IFERROR(VLOOKUP(TEXT(J23,"000000"),Artikli!$A:$K,11,FALSE),"")</f>
        <v/>
      </c>
      <c r="N23" s="9"/>
      <c r="O23" s="9"/>
      <c r="P23" s="11"/>
      <c r="Q23" t="str">
        <f>IFERROR(VLOOKUP(TEXT(N23,"000000"),Artikli!$A:$K,11,FALSE),"")</f>
        <v/>
      </c>
    </row>
    <row r="24" spans="1:17" x14ac:dyDescent="0.25">
      <c r="A24" s="9">
        <v>76</v>
      </c>
      <c r="B24" t="s">
        <v>72</v>
      </c>
      <c r="C24" s="11">
        <v>17.5</v>
      </c>
      <c r="D24">
        <f>IFERROR(VLOOKUP(TEXT(A24,"000000"),Artikli!$A:$K,11,FALSE),"")</f>
        <v>21.44971</v>
      </c>
      <c r="E24" s="12">
        <v>675</v>
      </c>
      <c r="F24" s="9"/>
      <c r="G24" s="9"/>
      <c r="I24" t="str">
        <f>IFERROR(VLOOKUP(TEXT(F24,"000000"),Artikli!$A:$K,11,FALSE),"")</f>
        <v/>
      </c>
      <c r="J24" s="9"/>
      <c r="K24" s="9"/>
      <c r="L24" s="11"/>
      <c r="M24" t="str">
        <f>IFERROR(VLOOKUP(TEXT(J24,"000000"),Artikli!$A:$K,11,FALSE),"")</f>
        <v/>
      </c>
      <c r="N24" s="9"/>
      <c r="O24" s="9"/>
      <c r="P24" s="11"/>
      <c r="Q24" t="str">
        <f>IFERROR(VLOOKUP(TEXT(N24,"000000"),Artikli!$A:$K,11,FALSE),"")</f>
        <v/>
      </c>
    </row>
    <row r="25" spans="1:17" x14ac:dyDescent="0.25">
      <c r="A25" s="9">
        <v>77</v>
      </c>
      <c r="B25" t="s">
        <v>74</v>
      </c>
      <c r="C25" s="11">
        <v>0</v>
      </c>
      <c r="D25">
        <f>IFERROR(VLOOKUP(TEXT(A25,"000000"),Artikli!$A:$K,11,FALSE),"")</f>
        <v>25.149709999999999</v>
      </c>
      <c r="E25" s="12">
        <v>175</v>
      </c>
      <c r="F25" s="9"/>
      <c r="G25" s="9"/>
      <c r="I25" t="str">
        <f>IFERROR(VLOOKUP(TEXT(F25,"000000"),Artikli!$A:$K,11,FALSE),"")</f>
        <v/>
      </c>
      <c r="J25" s="9"/>
      <c r="K25" s="9"/>
      <c r="L25" s="11"/>
      <c r="M25" t="str">
        <f>IFERROR(VLOOKUP(TEXT(J25,"000000"),Artikli!$A:$K,11,FALSE),"")</f>
        <v/>
      </c>
      <c r="N25" s="9"/>
      <c r="O25" s="9"/>
      <c r="P25" s="11"/>
      <c r="Q25" t="str">
        <f>IFERROR(VLOOKUP(TEXT(N25,"000000"),Artikli!$A:$K,11,FALSE),"")</f>
        <v/>
      </c>
    </row>
    <row r="26" spans="1:17" x14ac:dyDescent="0.25">
      <c r="A26" s="9">
        <v>78</v>
      </c>
      <c r="B26" t="s">
        <v>76</v>
      </c>
      <c r="C26" s="11">
        <v>108</v>
      </c>
      <c r="D26">
        <f>IFERROR(VLOOKUP(TEXT(A26,"000000"),Artikli!$A:$K,11,FALSE),"")</f>
        <v>56</v>
      </c>
      <c r="E26" s="12">
        <v>25</v>
      </c>
      <c r="F26" s="9"/>
      <c r="G26" s="9"/>
      <c r="I26" t="str">
        <f>IFERROR(VLOOKUP(TEXT(F26,"000000"),Artikli!$A:$K,11,FALSE),"")</f>
        <v/>
      </c>
      <c r="J26" s="9"/>
      <c r="K26" s="9"/>
      <c r="L26" s="11"/>
      <c r="M26" t="str">
        <f>IFERROR(VLOOKUP(TEXT(J26,"000000"),Artikli!$A:$K,11,FALSE),"")</f>
        <v/>
      </c>
      <c r="N26" s="9"/>
      <c r="O26" s="9"/>
      <c r="P26" s="11"/>
      <c r="Q26" t="str">
        <f>IFERROR(VLOOKUP(TEXT(N26,"000000"),Artikli!$A:$K,11,FALSE),"")</f>
        <v/>
      </c>
    </row>
    <row r="27" spans="1:17" x14ac:dyDescent="0.25">
      <c r="A27" s="9">
        <v>79</v>
      </c>
      <c r="B27" t="s">
        <v>78</v>
      </c>
      <c r="C27" s="11">
        <v>118.5</v>
      </c>
      <c r="D27">
        <f>IFERROR(VLOOKUP(TEXT(A27,"000000"),Artikli!$A:$K,11,FALSE),"")</f>
        <v>22.92</v>
      </c>
      <c r="E27" s="12">
        <v>25</v>
      </c>
      <c r="F27" s="9">
        <v>52</v>
      </c>
      <c r="G27" s="9" t="s">
        <v>295</v>
      </c>
      <c r="H27" s="11">
        <v>3</v>
      </c>
      <c r="I27">
        <f>IFERROR(VLOOKUP(TEXT(F27,"000000"),Artikli!$A:$K,11,FALSE),"")</f>
        <v>25.5</v>
      </c>
      <c r="J27" s="9"/>
      <c r="K27" s="9"/>
      <c r="L27" s="11"/>
      <c r="M27" t="str">
        <f>IFERROR(VLOOKUP(TEXT(J27,"000000"),Artikli!$A:$K,11,FALSE),"")</f>
        <v/>
      </c>
      <c r="N27" s="9"/>
      <c r="O27" s="9"/>
      <c r="P27" s="11"/>
      <c r="Q27" t="str">
        <f>IFERROR(VLOOKUP(TEXT(N27,"000000"),Artikli!$A:$K,11,FALSE),"")</f>
        <v/>
      </c>
    </row>
    <row r="28" spans="1:17" x14ac:dyDescent="0.25">
      <c r="A28" s="9">
        <v>80</v>
      </c>
      <c r="B28" t="s">
        <v>80</v>
      </c>
      <c r="C28" s="11">
        <v>79</v>
      </c>
      <c r="D28">
        <f>IFERROR(VLOOKUP(TEXT(A28,"000000"),Artikli!$A:$K,11,FALSE),"")</f>
        <v>23.6</v>
      </c>
      <c r="E28" s="12">
        <v>25</v>
      </c>
      <c r="F28" s="9">
        <v>150</v>
      </c>
      <c r="G28" s="9" t="s">
        <v>116</v>
      </c>
      <c r="H28" s="11">
        <v>24.134</v>
      </c>
      <c r="I28">
        <f>IFERROR(VLOOKUP(TEXT(F28,"000000"),Artikli!$A:$K,11,FALSE),"")</f>
        <v>23.6</v>
      </c>
      <c r="J28" s="9"/>
      <c r="K28" s="9"/>
      <c r="L28" s="11"/>
      <c r="M28" t="str">
        <f>IFERROR(VLOOKUP(TEXT(J28,"000000"),Artikli!$A:$K,11,FALSE),"")</f>
        <v/>
      </c>
      <c r="N28" s="9"/>
      <c r="O28" s="9"/>
      <c r="P28" s="11"/>
      <c r="Q28" t="str">
        <f>IFERROR(VLOOKUP(TEXT(N28,"000000"),Artikli!$A:$K,11,FALSE),"")</f>
        <v/>
      </c>
    </row>
    <row r="29" spans="1:17" x14ac:dyDescent="0.25">
      <c r="A29" s="9">
        <v>82</v>
      </c>
      <c r="B29" t="s">
        <v>82</v>
      </c>
      <c r="C29" s="11">
        <v>54</v>
      </c>
      <c r="D29">
        <f>IFERROR(VLOOKUP(TEXT(A29,"000000"),Artikli!$A:$K,11,FALSE),"")</f>
        <v>62.25</v>
      </c>
      <c r="E29" s="12">
        <v>25</v>
      </c>
      <c r="F29" s="9">
        <v>184</v>
      </c>
      <c r="G29" s="9" t="s">
        <v>149</v>
      </c>
      <c r="H29" s="11">
        <v>50</v>
      </c>
      <c r="I29">
        <f>IFERROR(VLOOKUP(TEXT(F29,"000000"),Artikli!$A:$K,11,FALSE),"")</f>
        <v>28</v>
      </c>
      <c r="J29" s="9"/>
      <c r="K29" s="9"/>
      <c r="L29" s="11"/>
      <c r="M29" t="str">
        <f>IFERROR(VLOOKUP(TEXT(J29,"000000"),Artikli!$A:$K,11,FALSE),"")</f>
        <v/>
      </c>
      <c r="N29" s="9"/>
      <c r="O29" s="9"/>
      <c r="P29" s="11"/>
      <c r="Q29" t="str">
        <f>IFERROR(VLOOKUP(TEXT(N29,"000000"),Artikli!$A:$K,11,FALSE),"")</f>
        <v/>
      </c>
    </row>
    <row r="30" spans="1:17" x14ac:dyDescent="0.25">
      <c r="A30" s="9">
        <v>83</v>
      </c>
      <c r="B30" t="s">
        <v>84</v>
      </c>
      <c r="C30" s="11">
        <v>8.9</v>
      </c>
      <c r="D30">
        <f>IFERROR(VLOOKUP(TEXT(A30,"000000"),Artikli!$A:$K,11,FALSE),"")</f>
        <v>46</v>
      </c>
      <c r="E30" s="12">
        <v>25</v>
      </c>
      <c r="F30" s="9"/>
      <c r="G30" s="9"/>
      <c r="I30" t="str">
        <f>IFERROR(VLOOKUP(TEXT(F30,"000000"),Artikli!$A:$K,11,FALSE),"")</f>
        <v/>
      </c>
      <c r="J30" s="9"/>
      <c r="K30" s="9"/>
      <c r="L30" s="11"/>
      <c r="M30" t="str">
        <f>IFERROR(VLOOKUP(TEXT(J30,"000000"),Artikli!$A:$K,11,FALSE),"")</f>
        <v/>
      </c>
      <c r="N30" s="9"/>
      <c r="O30" s="9"/>
      <c r="P30" s="11"/>
      <c r="Q30" t="str">
        <f>IFERROR(VLOOKUP(TEXT(N30,"000000"),Artikli!$A:$K,11,FALSE),"")</f>
        <v/>
      </c>
    </row>
    <row r="31" spans="1:17" x14ac:dyDescent="0.25">
      <c r="A31" s="9">
        <v>84</v>
      </c>
      <c r="B31" t="s">
        <v>86</v>
      </c>
      <c r="C31" s="11">
        <v>231.34</v>
      </c>
      <c r="D31">
        <f>IFERROR(VLOOKUP(TEXT(A31,"000000"),Artikli!$A:$K,11,FALSE),"")</f>
        <v>4.9279799999999998</v>
      </c>
      <c r="E31" s="12">
        <v>150</v>
      </c>
      <c r="F31" s="9">
        <v>41</v>
      </c>
      <c r="G31" s="9" t="s">
        <v>296</v>
      </c>
      <c r="H31" s="11">
        <v>25</v>
      </c>
      <c r="I31">
        <f>IFERROR(VLOOKUP(TEXT(F31,"000000"),Artikli!$A:$K,11,FALSE),"")</f>
        <v>3.33955</v>
      </c>
      <c r="J31" s="9">
        <v>120</v>
      </c>
      <c r="K31" s="9" t="s">
        <v>269</v>
      </c>
      <c r="L31" s="11">
        <v>5</v>
      </c>
      <c r="M31">
        <f>IFERROR(VLOOKUP(TEXT(J31,"000000"),Artikli!$A:$K,11,FALSE),"")</f>
        <v>10.284000000000001</v>
      </c>
      <c r="N31" s="9"/>
      <c r="O31" s="9"/>
      <c r="P31" s="11"/>
      <c r="Q31" t="str">
        <f>IFERROR(VLOOKUP(TEXT(N31,"000000"),Artikli!$A:$K,11,FALSE),"")</f>
        <v/>
      </c>
    </row>
    <row r="32" spans="1:17" x14ac:dyDescent="0.25">
      <c r="A32" s="9">
        <v>104</v>
      </c>
      <c r="B32" t="s">
        <v>88</v>
      </c>
      <c r="C32" s="11">
        <v>35</v>
      </c>
      <c r="D32">
        <f>IFERROR(VLOOKUP(TEXT(A32,"000000"),Artikli!$A:$K,11,FALSE),"")</f>
        <v>5.5</v>
      </c>
      <c r="E32" s="12">
        <v>50</v>
      </c>
      <c r="F32" s="9"/>
      <c r="G32" s="9"/>
      <c r="I32" t="str">
        <f>IFERROR(VLOOKUP(TEXT(F32,"000000"),Artikli!$A:$K,11,FALSE),"")</f>
        <v/>
      </c>
      <c r="J32" s="9"/>
      <c r="K32" s="9"/>
      <c r="L32" s="11"/>
      <c r="M32" t="str">
        <f>IFERROR(VLOOKUP(TEXT(J32,"000000"),Artikli!$A:$K,11,FALSE),"")</f>
        <v/>
      </c>
      <c r="N32" s="9"/>
      <c r="O32" s="9"/>
      <c r="P32" s="11"/>
      <c r="Q32" t="str">
        <f>IFERROR(VLOOKUP(TEXT(N32,"000000"),Artikli!$A:$K,11,FALSE),"")</f>
        <v/>
      </c>
    </row>
    <row r="33" spans="1:17" x14ac:dyDescent="0.25">
      <c r="A33" s="9">
        <v>105</v>
      </c>
      <c r="B33" t="s">
        <v>90</v>
      </c>
      <c r="C33" s="11">
        <v>650</v>
      </c>
      <c r="D33">
        <f>IFERROR(VLOOKUP(TEXT(A33,"000000"),Artikli!$A:$K,11,FALSE),"")</f>
        <v>2.85</v>
      </c>
      <c r="E33" s="12">
        <v>775</v>
      </c>
      <c r="F33" s="9">
        <v>33</v>
      </c>
      <c r="G33" s="9" t="s">
        <v>300</v>
      </c>
      <c r="H33" s="11">
        <v>20</v>
      </c>
      <c r="I33">
        <f>IFERROR(VLOOKUP(TEXT(F33,"000000"),Artikli!$A:$K,11,FALSE),"")</f>
        <v>2.94</v>
      </c>
      <c r="J33" s="9"/>
      <c r="K33" s="9"/>
      <c r="L33" s="11"/>
      <c r="M33" t="str">
        <f>IFERROR(VLOOKUP(TEXT(J33,"000000"),Artikli!$A:$K,11,FALSE),"")</f>
        <v/>
      </c>
      <c r="N33" s="9"/>
      <c r="O33" s="9"/>
      <c r="P33" s="11"/>
      <c r="Q33" t="str">
        <f>IFERROR(VLOOKUP(TEXT(N33,"000000"),Artikli!$A:$K,11,FALSE),"")</f>
        <v/>
      </c>
    </row>
    <row r="34" spans="1:17" x14ac:dyDescent="0.25">
      <c r="A34" s="9">
        <v>116</v>
      </c>
      <c r="B34" t="s">
        <v>92</v>
      </c>
      <c r="C34" s="11">
        <v>24</v>
      </c>
      <c r="D34">
        <f>IFERROR(VLOOKUP(TEXT(A34,"000000"),Artikli!$A:$K,11,FALSE),"")</f>
        <v>640</v>
      </c>
      <c r="E34" s="12">
        <v>25</v>
      </c>
      <c r="F34" s="9">
        <v>62</v>
      </c>
      <c r="G34" s="9" t="s">
        <v>308</v>
      </c>
      <c r="H34" s="11">
        <v>0</v>
      </c>
      <c r="I34">
        <f>IFERROR(VLOOKUP(TEXT(F34,"000000"),Artikli!$A:$K,11,FALSE),"")</f>
        <v>605.77300000000002</v>
      </c>
      <c r="J34" s="9"/>
      <c r="K34" s="9"/>
      <c r="L34" s="11"/>
      <c r="M34" t="str">
        <f>IFERROR(VLOOKUP(TEXT(J34,"000000"),Artikli!$A:$K,11,FALSE),"")</f>
        <v/>
      </c>
      <c r="N34" s="9"/>
      <c r="O34" s="9"/>
      <c r="P34" s="11"/>
      <c r="Q34" t="str">
        <f>IFERROR(VLOOKUP(TEXT(N34,"000000"),Artikli!$A:$K,11,FALSE),"")</f>
        <v/>
      </c>
    </row>
    <row r="35" spans="1:17" x14ac:dyDescent="0.25">
      <c r="A35" s="9">
        <v>127</v>
      </c>
      <c r="B35" t="s">
        <v>95</v>
      </c>
      <c r="C35" s="11">
        <v>25</v>
      </c>
      <c r="D35">
        <f>IFERROR(VLOOKUP(TEXT(A35,"000000"),Artikli!$A:$K,11,FALSE),"")</f>
        <v>15.2</v>
      </c>
      <c r="E35" s="12">
        <v>25</v>
      </c>
      <c r="F35" s="9"/>
      <c r="G35" s="9"/>
      <c r="I35" t="str">
        <f>IFERROR(VLOOKUP(TEXT(F35,"000000"),Artikli!$A:$K,11,FALSE),"")</f>
        <v/>
      </c>
      <c r="J35" s="9"/>
      <c r="K35" s="9"/>
      <c r="L35" s="11"/>
      <c r="M35" t="str">
        <f>IFERROR(VLOOKUP(TEXT(J35,"000000"),Artikli!$A:$K,11,FALSE),"")</f>
        <v/>
      </c>
      <c r="N35" s="9"/>
      <c r="O35" s="9"/>
      <c r="P35" s="11"/>
      <c r="Q35" t="str">
        <f>IFERROR(VLOOKUP(TEXT(N35,"000000"),Artikli!$A:$K,11,FALSE),"")</f>
        <v/>
      </c>
    </row>
    <row r="36" spans="1:17" x14ac:dyDescent="0.25">
      <c r="A36" s="9">
        <v>131</v>
      </c>
      <c r="B36" t="s">
        <v>97</v>
      </c>
      <c r="C36" s="11">
        <v>75</v>
      </c>
      <c r="D36">
        <f>IFERROR(VLOOKUP(TEXT(A36,"000000"),Artikli!$A:$K,11,FALSE),"")</f>
        <v>15.9</v>
      </c>
      <c r="E36" s="12">
        <v>125</v>
      </c>
      <c r="F36" s="9"/>
      <c r="G36" s="9"/>
      <c r="I36" t="str">
        <f>IFERROR(VLOOKUP(TEXT(F36,"000000"),Artikli!$A:$K,11,FALSE),"")</f>
        <v/>
      </c>
      <c r="J36" s="9"/>
      <c r="K36" s="9"/>
      <c r="L36" s="11"/>
      <c r="M36" t="str">
        <f>IFERROR(VLOOKUP(TEXT(J36,"000000"),Artikli!$A:$K,11,FALSE),"")</f>
        <v/>
      </c>
      <c r="N36" s="9"/>
      <c r="O36" s="9"/>
      <c r="P36" s="11"/>
      <c r="Q36" t="str">
        <f>IFERROR(VLOOKUP(TEXT(N36,"000000"),Artikli!$A:$K,11,FALSE),"")</f>
        <v/>
      </c>
    </row>
    <row r="37" spans="1:17" x14ac:dyDescent="0.25">
      <c r="A37" s="9">
        <v>138</v>
      </c>
      <c r="B37" t="s">
        <v>99</v>
      </c>
      <c r="C37" s="11">
        <v>182.78</v>
      </c>
      <c r="D37">
        <f>IFERROR(VLOOKUP(TEXT(A37,"000000"),Artikli!$A:$K,11,FALSE),"")</f>
        <v>8.52</v>
      </c>
      <c r="E37" s="12">
        <v>75</v>
      </c>
      <c r="F37" s="9"/>
      <c r="G37" s="9"/>
      <c r="I37" t="str">
        <f>IFERROR(VLOOKUP(TEXT(F37,"000000"),Artikli!$A:$K,11,FALSE),"")</f>
        <v/>
      </c>
      <c r="J37" s="9"/>
      <c r="K37" s="9"/>
      <c r="L37" s="11"/>
      <c r="M37" t="str">
        <f>IFERROR(VLOOKUP(TEXT(J37,"000000"),Artikli!$A:$K,11,FALSE),"")</f>
        <v/>
      </c>
      <c r="N37" s="9"/>
      <c r="O37" s="9"/>
      <c r="P37" s="11"/>
      <c r="Q37" t="str">
        <f>IFERROR(VLOOKUP(TEXT(N37,"000000"),Artikli!$A:$K,11,FALSE),"")</f>
        <v/>
      </c>
    </row>
    <row r="38" spans="1:17" x14ac:dyDescent="0.25">
      <c r="A38" s="9">
        <v>139</v>
      </c>
      <c r="B38" t="s">
        <v>101</v>
      </c>
      <c r="C38" s="11">
        <v>52.631419999999999</v>
      </c>
      <c r="D38">
        <f>IFERROR(VLOOKUP(TEXT(A38,"000000"),Artikli!$A:$K,11,FALSE),"")</f>
        <v>66.669709999999995</v>
      </c>
      <c r="E38" s="12">
        <v>25</v>
      </c>
      <c r="F38" s="9"/>
      <c r="G38" s="9"/>
      <c r="I38" t="str">
        <f>IFERROR(VLOOKUP(TEXT(F38,"000000"),Artikli!$A:$K,11,FALSE),"")</f>
        <v/>
      </c>
      <c r="J38" s="9"/>
      <c r="K38" s="9"/>
      <c r="L38" s="11"/>
      <c r="M38" t="str">
        <f>IFERROR(VLOOKUP(TEXT(J38,"000000"),Artikli!$A:$K,11,FALSE),"")</f>
        <v/>
      </c>
      <c r="N38" s="9"/>
      <c r="O38" s="9"/>
      <c r="P38" s="11"/>
      <c r="Q38" t="str">
        <f>IFERROR(VLOOKUP(TEXT(N38,"000000"),Artikli!$A:$K,11,FALSE),"")</f>
        <v/>
      </c>
    </row>
    <row r="39" spans="1:17" x14ac:dyDescent="0.25">
      <c r="A39" s="9">
        <v>143</v>
      </c>
      <c r="B39" t="s">
        <v>104</v>
      </c>
      <c r="C39" s="11">
        <v>237</v>
      </c>
      <c r="D39">
        <f>IFERROR(VLOOKUP(TEXT(A39,"000000"),Artikli!$A:$K,11,FALSE),"")</f>
        <v>20.100000000000001</v>
      </c>
      <c r="E39" s="12">
        <v>25</v>
      </c>
      <c r="F39" s="9"/>
      <c r="G39" s="9"/>
      <c r="I39" t="str">
        <f>IFERROR(VLOOKUP(TEXT(F39,"000000"),Artikli!$A:$K,11,FALSE),"")</f>
        <v/>
      </c>
      <c r="J39" s="9"/>
      <c r="K39" s="9"/>
      <c r="L39" s="11"/>
      <c r="M39" t="str">
        <f>IFERROR(VLOOKUP(TEXT(J39,"000000"),Artikli!$A:$K,11,FALSE),"")</f>
        <v/>
      </c>
      <c r="N39" s="9"/>
      <c r="O39" s="9"/>
      <c r="P39" s="11"/>
      <c r="Q39" t="str">
        <f>IFERROR(VLOOKUP(TEXT(N39,"000000"),Artikli!$A:$K,11,FALSE),"")</f>
        <v/>
      </c>
    </row>
    <row r="40" spans="1:17" x14ac:dyDescent="0.25">
      <c r="A40" s="9">
        <v>145</v>
      </c>
      <c r="B40" t="s">
        <v>106</v>
      </c>
      <c r="C40" s="11">
        <v>67.2</v>
      </c>
      <c r="D40">
        <f>IFERROR(VLOOKUP(TEXT(A40,"000000"),Artikli!$A:$K,11,FALSE),"")</f>
        <v>7.25</v>
      </c>
      <c r="E40" s="12">
        <v>150</v>
      </c>
      <c r="F40" s="9"/>
      <c r="G40" s="9"/>
      <c r="I40" t="str">
        <f>IFERROR(VLOOKUP(TEXT(F40,"000000"),Artikli!$A:$K,11,FALSE),"")</f>
        <v/>
      </c>
      <c r="J40" s="9"/>
      <c r="K40" s="9"/>
      <c r="L40" s="11"/>
      <c r="M40" t="str">
        <f>IFERROR(VLOOKUP(TEXT(J40,"000000"),Artikli!$A:$K,11,FALSE),"")</f>
        <v/>
      </c>
      <c r="N40" s="9"/>
      <c r="O40" s="9"/>
      <c r="P40" s="11"/>
      <c r="Q40" t="str">
        <f>IFERROR(VLOOKUP(TEXT(N40,"000000"),Artikli!$A:$K,11,FALSE),"")</f>
        <v/>
      </c>
    </row>
    <row r="41" spans="1:17" x14ac:dyDescent="0.25">
      <c r="A41" s="9">
        <v>146</v>
      </c>
      <c r="B41" t="s">
        <v>108</v>
      </c>
      <c r="C41" s="11">
        <v>66.55</v>
      </c>
      <c r="D41">
        <f>IFERROR(VLOOKUP(TEXT(A41,"000000"),Artikli!$A:$K,11,FALSE),"")</f>
        <v>20.350000000000001</v>
      </c>
      <c r="E41" s="12">
        <v>150</v>
      </c>
      <c r="F41" s="9"/>
      <c r="G41" s="9"/>
      <c r="I41" t="str">
        <f>IFERROR(VLOOKUP(TEXT(F41,"000000"),Artikli!$A:$K,11,FALSE),"")</f>
        <v/>
      </c>
      <c r="J41" s="9"/>
      <c r="K41" s="9"/>
      <c r="L41" s="11"/>
      <c r="M41" t="str">
        <f>IFERROR(VLOOKUP(TEXT(J41,"000000"),Artikli!$A:$K,11,FALSE),"")</f>
        <v/>
      </c>
      <c r="N41" s="9"/>
      <c r="O41" s="9"/>
      <c r="P41" s="11"/>
      <c r="Q41" t="str">
        <f>IFERROR(VLOOKUP(TEXT(N41,"000000"),Artikli!$A:$K,11,FALSE),"")</f>
        <v/>
      </c>
    </row>
    <row r="42" spans="1:17" x14ac:dyDescent="0.25">
      <c r="A42" s="9">
        <v>147</v>
      </c>
      <c r="B42" t="s">
        <v>110</v>
      </c>
      <c r="C42" s="11">
        <v>98.268000000000001</v>
      </c>
      <c r="D42">
        <f>IFERROR(VLOOKUP(TEXT(A42,"000000"),Artikli!$A:$K,11,FALSE),"")</f>
        <v>8.8000000000000007</v>
      </c>
      <c r="E42" s="12">
        <v>50</v>
      </c>
      <c r="F42" s="9"/>
      <c r="G42" s="9"/>
      <c r="I42" t="str">
        <f>IFERROR(VLOOKUP(TEXT(F42,"000000"),Artikli!$A:$K,11,FALSE),"")</f>
        <v/>
      </c>
      <c r="J42" s="9"/>
      <c r="K42" s="9"/>
      <c r="L42" s="11"/>
      <c r="M42" t="str">
        <f>IFERROR(VLOOKUP(TEXT(J42,"000000"),Artikli!$A:$K,11,FALSE),"")</f>
        <v/>
      </c>
      <c r="N42" s="9"/>
      <c r="O42" s="9"/>
      <c r="P42" s="11"/>
      <c r="Q42" t="str">
        <f>IFERROR(VLOOKUP(TEXT(N42,"000000"),Artikli!$A:$K,11,FALSE),"")</f>
        <v/>
      </c>
    </row>
    <row r="43" spans="1:17" x14ac:dyDescent="0.25">
      <c r="A43" s="9">
        <v>148</v>
      </c>
      <c r="B43" t="s">
        <v>112</v>
      </c>
      <c r="C43" s="11">
        <v>0</v>
      </c>
      <c r="D43">
        <f>IFERROR(VLOOKUP(TEXT(A43,"000000"),Artikli!$A:$K,11,FALSE),"")</f>
        <v>0</v>
      </c>
      <c r="E43" s="12">
        <v>25</v>
      </c>
      <c r="F43" s="9"/>
      <c r="G43" s="9"/>
      <c r="I43" t="str">
        <f>IFERROR(VLOOKUP(TEXT(F43,"000000"),Artikli!$A:$K,11,FALSE),"")</f>
        <v/>
      </c>
      <c r="J43" s="9"/>
      <c r="K43" s="9"/>
      <c r="L43" s="11"/>
      <c r="M43" t="str">
        <f>IFERROR(VLOOKUP(TEXT(J43,"000000"),Artikli!$A:$K,11,FALSE),"")</f>
        <v/>
      </c>
      <c r="N43" s="9"/>
      <c r="O43" s="9"/>
      <c r="P43" s="11"/>
      <c r="Q43" t="str">
        <f>IFERROR(VLOOKUP(TEXT(N43,"000000"),Artikli!$A:$K,11,FALSE),"")</f>
        <v/>
      </c>
    </row>
    <row r="44" spans="1:17" x14ac:dyDescent="0.25">
      <c r="A44" s="9">
        <v>149</v>
      </c>
      <c r="B44" t="s">
        <v>114</v>
      </c>
      <c r="C44" s="11">
        <v>49.134</v>
      </c>
      <c r="D44">
        <f>IFERROR(VLOOKUP(TEXT(A44,"000000"),Artikli!$A:$K,11,FALSE),"")</f>
        <v>52.4</v>
      </c>
      <c r="E44" s="12">
        <v>25</v>
      </c>
      <c r="F44" s="9"/>
      <c r="G44" s="9"/>
      <c r="I44" t="str">
        <f>IFERROR(VLOOKUP(TEXT(F44,"000000"),Artikli!$A:$K,11,FALSE),"")</f>
        <v/>
      </c>
      <c r="J44" s="9"/>
      <c r="K44" s="9"/>
      <c r="L44" s="11"/>
      <c r="M44" t="str">
        <f>IFERROR(VLOOKUP(TEXT(J44,"000000"),Artikli!$A:$K,11,FALSE),"")</f>
        <v/>
      </c>
      <c r="N44" s="9"/>
      <c r="O44" s="9"/>
      <c r="P44" s="11"/>
      <c r="Q44" t="str">
        <f>IFERROR(VLOOKUP(TEXT(N44,"000000"),Artikli!$A:$K,11,FALSE),"")</f>
        <v/>
      </c>
    </row>
    <row r="45" spans="1:17" x14ac:dyDescent="0.25">
      <c r="A45" s="9">
        <v>150</v>
      </c>
      <c r="B45" t="s">
        <v>116</v>
      </c>
      <c r="C45" s="11">
        <v>24.134</v>
      </c>
      <c r="D45">
        <f>IFERROR(VLOOKUP(TEXT(A45,"000000"),Artikli!$A:$K,11,FALSE),"")</f>
        <v>23.6</v>
      </c>
      <c r="E45" s="12">
        <v>50</v>
      </c>
      <c r="F45" s="9">
        <v>80</v>
      </c>
      <c r="G45" s="9" t="s">
        <v>80</v>
      </c>
      <c r="H45" s="11">
        <v>79</v>
      </c>
      <c r="I45">
        <f>IFERROR(VLOOKUP(TEXT(F45,"000000"),Artikli!$A:$K,11,FALSE),"")</f>
        <v>23.6</v>
      </c>
      <c r="J45" s="9"/>
      <c r="K45" s="9"/>
      <c r="L45" s="11"/>
      <c r="M45" t="str">
        <f>IFERROR(VLOOKUP(TEXT(J45,"000000"),Artikli!$A:$K,11,FALSE),"")</f>
        <v/>
      </c>
      <c r="N45" s="9"/>
      <c r="O45" s="9"/>
      <c r="P45" s="11"/>
      <c r="Q45" t="str">
        <f>IFERROR(VLOOKUP(TEXT(N45,"000000"),Artikli!$A:$K,11,FALSE),"")</f>
        <v/>
      </c>
    </row>
    <row r="46" spans="1:17" x14ac:dyDescent="0.25">
      <c r="A46" s="9">
        <v>151</v>
      </c>
      <c r="B46" t="s">
        <v>118</v>
      </c>
      <c r="C46" s="11">
        <v>10.9</v>
      </c>
      <c r="D46">
        <f>IFERROR(VLOOKUP(TEXT(A46,"000000"),Artikli!$A:$K,11,FALSE),"")</f>
        <v>43.4</v>
      </c>
      <c r="E46" s="12">
        <v>25</v>
      </c>
      <c r="F46" s="9"/>
      <c r="G46" s="9"/>
      <c r="I46" t="str">
        <f>IFERROR(VLOOKUP(TEXT(F46,"000000"),Artikli!$A:$K,11,FALSE),"")</f>
        <v/>
      </c>
      <c r="J46" s="9"/>
      <c r="K46" s="9"/>
      <c r="L46" s="11"/>
      <c r="M46" t="str">
        <f>IFERROR(VLOOKUP(TEXT(J46,"000000"),Artikli!$A:$K,11,FALSE),"")</f>
        <v/>
      </c>
      <c r="N46" s="9"/>
      <c r="O46" s="9"/>
      <c r="P46" s="11"/>
      <c r="Q46" t="str">
        <f>IFERROR(VLOOKUP(TEXT(N46,"000000"),Artikli!$A:$K,11,FALSE),"")</f>
        <v/>
      </c>
    </row>
    <row r="47" spans="1:17" x14ac:dyDescent="0.25">
      <c r="A47" s="9">
        <v>152</v>
      </c>
      <c r="B47" t="s">
        <v>120</v>
      </c>
      <c r="C47" s="11">
        <v>3</v>
      </c>
      <c r="D47">
        <f>IFERROR(VLOOKUP(TEXT(A47,"000000"),Artikli!$A:$K,11,FALSE),"")</f>
        <v>277</v>
      </c>
      <c r="E47" s="12">
        <v>10</v>
      </c>
      <c r="F47" s="9"/>
      <c r="G47" s="9"/>
      <c r="I47" t="str">
        <f>IFERROR(VLOOKUP(TEXT(F47,"000000"),Artikli!$A:$K,11,FALSE),"")</f>
        <v/>
      </c>
      <c r="J47" s="9"/>
      <c r="K47" s="9"/>
      <c r="L47" s="11"/>
      <c r="M47" t="str">
        <f>IFERROR(VLOOKUP(TEXT(J47,"000000"),Artikli!$A:$K,11,FALSE),"")</f>
        <v/>
      </c>
      <c r="N47" s="9"/>
      <c r="O47" s="9"/>
      <c r="P47" s="11"/>
      <c r="Q47" t="str">
        <f>IFERROR(VLOOKUP(TEXT(N47,"000000"),Artikli!$A:$K,11,FALSE),"")</f>
        <v/>
      </c>
    </row>
    <row r="48" spans="1:17" x14ac:dyDescent="0.25">
      <c r="A48" s="9">
        <v>155</v>
      </c>
      <c r="B48" t="s">
        <v>122</v>
      </c>
      <c r="C48" s="11">
        <v>50</v>
      </c>
      <c r="D48">
        <f>IFERROR(VLOOKUP(TEXT(A48,"000000"),Artikli!$A:$K,11,FALSE),"")</f>
        <v>25.2</v>
      </c>
      <c r="E48" s="12">
        <v>75</v>
      </c>
      <c r="F48" s="9"/>
      <c r="G48" s="9"/>
      <c r="I48" t="str">
        <f>IFERROR(VLOOKUP(TEXT(F48,"000000"),Artikli!$A:$K,11,FALSE),"")</f>
        <v/>
      </c>
      <c r="J48" s="9"/>
      <c r="K48" s="9"/>
      <c r="L48" s="11"/>
      <c r="M48" t="str">
        <f>IFERROR(VLOOKUP(TEXT(J48,"000000"),Artikli!$A:$K,11,FALSE),"")</f>
        <v/>
      </c>
      <c r="N48" s="9"/>
      <c r="O48" s="9"/>
      <c r="P48" s="11"/>
      <c r="Q48" t="str">
        <f>IFERROR(VLOOKUP(TEXT(N48,"000000"),Artikli!$A:$K,11,FALSE),"")</f>
        <v/>
      </c>
    </row>
    <row r="49" spans="1:17" x14ac:dyDescent="0.25">
      <c r="A49" s="9">
        <v>156</v>
      </c>
      <c r="B49" t="s">
        <v>124</v>
      </c>
      <c r="C49" s="11">
        <v>3.7083499999999998</v>
      </c>
      <c r="D49">
        <f>IFERROR(VLOOKUP(TEXT(A49,"000000"),Artikli!$A:$K,11,FALSE),"")</f>
        <v>5.9952699999999997</v>
      </c>
      <c r="E49" s="12">
        <v>25</v>
      </c>
      <c r="F49" s="9">
        <v>32</v>
      </c>
      <c r="G49" s="9" t="s">
        <v>34</v>
      </c>
      <c r="H49" s="11">
        <v>449.77499999999998</v>
      </c>
      <c r="I49">
        <f>IFERROR(VLOOKUP(TEXT(F49,"000000"),Artikli!$A:$K,11,FALSE),"")</f>
        <v>4.1399999999999997</v>
      </c>
      <c r="J49" s="9"/>
      <c r="K49" s="9"/>
      <c r="L49" s="11"/>
      <c r="M49" t="str">
        <f>IFERROR(VLOOKUP(TEXT(J49,"000000"),Artikli!$A:$K,11,FALSE),"")</f>
        <v/>
      </c>
      <c r="N49" s="9"/>
      <c r="O49" s="9"/>
      <c r="P49" s="11"/>
      <c r="Q49" t="str">
        <f>IFERROR(VLOOKUP(TEXT(N49,"000000"),Artikli!$A:$K,11,FALSE),"")</f>
        <v/>
      </c>
    </row>
    <row r="50" spans="1:17" x14ac:dyDescent="0.25">
      <c r="A50" s="9">
        <v>157</v>
      </c>
      <c r="B50" t="s">
        <v>127</v>
      </c>
      <c r="C50" s="11">
        <v>50</v>
      </c>
      <c r="D50">
        <f>IFERROR(VLOOKUP(TEXT(A50,"000000"),Artikli!$A:$K,11,FALSE),"")</f>
        <v>53.2</v>
      </c>
      <c r="E50" s="12">
        <v>75</v>
      </c>
      <c r="F50" s="9"/>
      <c r="G50" s="9"/>
      <c r="I50" t="str">
        <f>IFERROR(VLOOKUP(TEXT(F50,"000000"),Artikli!$A:$K,11,FALSE),"")</f>
        <v/>
      </c>
      <c r="J50" s="9"/>
      <c r="K50" s="9"/>
      <c r="L50" s="11"/>
      <c r="M50" t="str">
        <f>IFERROR(VLOOKUP(TEXT(J50,"000000"),Artikli!$A:$K,11,FALSE),"")</f>
        <v/>
      </c>
      <c r="N50" s="9"/>
      <c r="O50" s="9"/>
      <c r="P50" s="11"/>
      <c r="Q50" t="str">
        <f>IFERROR(VLOOKUP(TEXT(N50,"000000"),Artikli!$A:$K,11,FALSE),"")</f>
        <v/>
      </c>
    </row>
    <row r="51" spans="1:17" x14ac:dyDescent="0.25">
      <c r="A51" s="9">
        <v>159</v>
      </c>
      <c r="B51" t="s">
        <v>129</v>
      </c>
      <c r="C51" s="11">
        <v>5</v>
      </c>
      <c r="D51">
        <f>IFERROR(VLOOKUP(TEXT(A51,"000000"),Artikli!$A:$K,11,FALSE),"")</f>
        <v>0</v>
      </c>
      <c r="E51" s="12">
        <v>10</v>
      </c>
      <c r="F51" s="9"/>
      <c r="G51" s="9"/>
      <c r="I51" t="str">
        <f>IFERROR(VLOOKUP(TEXT(F51,"000000"),Artikli!$A:$K,11,FALSE),"")</f>
        <v/>
      </c>
      <c r="J51" s="9"/>
      <c r="K51" s="9"/>
      <c r="L51" s="11"/>
      <c r="M51" t="str">
        <f>IFERROR(VLOOKUP(TEXT(J51,"000000"),Artikli!$A:$K,11,FALSE),"")</f>
        <v/>
      </c>
      <c r="N51" s="9"/>
      <c r="O51" s="9"/>
      <c r="P51" s="11"/>
      <c r="Q51" t="str">
        <f>IFERROR(VLOOKUP(TEXT(N51,"000000"),Artikli!$A:$K,11,FALSE),"")</f>
        <v/>
      </c>
    </row>
    <row r="52" spans="1:17" x14ac:dyDescent="0.25">
      <c r="A52" s="9">
        <v>160</v>
      </c>
      <c r="B52" t="s">
        <v>131</v>
      </c>
      <c r="C52" s="11">
        <v>5</v>
      </c>
      <c r="D52">
        <f>IFERROR(VLOOKUP(TEXT(A52,"000000"),Artikli!$A:$K,11,FALSE),"")</f>
        <v>190</v>
      </c>
      <c r="E52" s="12">
        <v>10</v>
      </c>
      <c r="F52" s="9"/>
      <c r="G52" s="9"/>
      <c r="I52" t="str">
        <f>IFERROR(VLOOKUP(TEXT(F52,"000000"),Artikli!$A:$K,11,FALSE),"")</f>
        <v/>
      </c>
      <c r="J52" s="9"/>
      <c r="K52" s="9"/>
      <c r="L52" s="11"/>
      <c r="M52" t="str">
        <f>IFERROR(VLOOKUP(TEXT(J52,"000000"),Artikli!$A:$K,11,FALSE),"")</f>
        <v/>
      </c>
      <c r="N52" s="9"/>
      <c r="O52" s="9"/>
      <c r="P52" s="11"/>
      <c r="Q52" t="str">
        <f>IFERROR(VLOOKUP(TEXT(N52,"000000"),Artikli!$A:$K,11,FALSE),"")</f>
        <v/>
      </c>
    </row>
    <row r="53" spans="1:17" x14ac:dyDescent="0.25">
      <c r="A53" s="9">
        <v>161</v>
      </c>
      <c r="B53" t="s">
        <v>133</v>
      </c>
      <c r="C53" s="11">
        <v>50</v>
      </c>
      <c r="D53">
        <f>IFERROR(VLOOKUP(TEXT(A53,"000000"),Artikli!$A:$K,11,FALSE),"")</f>
        <v>9.6999999999999993</v>
      </c>
      <c r="E53" s="12">
        <v>50</v>
      </c>
      <c r="F53" s="9"/>
      <c r="G53" s="9"/>
      <c r="I53" t="str">
        <f>IFERROR(VLOOKUP(TEXT(F53,"000000"),Artikli!$A:$K,11,FALSE),"")</f>
        <v/>
      </c>
      <c r="J53" s="9"/>
      <c r="K53" s="9"/>
      <c r="L53" s="11"/>
      <c r="M53" t="str">
        <f>IFERROR(VLOOKUP(TEXT(J53,"000000"),Artikli!$A:$K,11,FALSE),"")</f>
        <v/>
      </c>
      <c r="N53" s="9"/>
      <c r="O53" s="9"/>
      <c r="P53" s="11"/>
      <c r="Q53" t="str">
        <f>IFERROR(VLOOKUP(TEXT(N53,"000000"),Artikli!$A:$K,11,FALSE),"")</f>
        <v/>
      </c>
    </row>
    <row r="54" spans="1:17" x14ac:dyDescent="0.25">
      <c r="A54" s="9">
        <v>162</v>
      </c>
      <c r="B54" t="s">
        <v>135</v>
      </c>
      <c r="C54" s="11">
        <v>5</v>
      </c>
      <c r="D54">
        <f>IFERROR(VLOOKUP(TEXT(A54,"000000"),Artikli!$A:$K,11,FALSE),"")</f>
        <v>101.1</v>
      </c>
      <c r="E54" s="12">
        <v>10</v>
      </c>
      <c r="F54" s="9"/>
      <c r="G54" s="9"/>
      <c r="I54" t="str">
        <f>IFERROR(VLOOKUP(TEXT(F54,"000000"),Artikli!$A:$K,11,FALSE),"")</f>
        <v/>
      </c>
      <c r="J54" s="9"/>
      <c r="K54" s="9"/>
      <c r="L54" s="11"/>
      <c r="M54" t="str">
        <f>IFERROR(VLOOKUP(TEXT(J54,"000000"),Artikli!$A:$K,11,FALSE),"")</f>
        <v/>
      </c>
      <c r="N54" s="9"/>
      <c r="O54" s="9"/>
      <c r="P54" s="11"/>
      <c r="Q54" t="str">
        <f>IFERROR(VLOOKUP(TEXT(N54,"000000"),Artikli!$A:$K,11,FALSE),"")</f>
        <v/>
      </c>
    </row>
    <row r="55" spans="1:17" x14ac:dyDescent="0.25">
      <c r="A55" s="9">
        <v>163</v>
      </c>
      <c r="B55" t="s">
        <v>137</v>
      </c>
      <c r="C55" s="11">
        <v>25</v>
      </c>
      <c r="D55">
        <f>IFERROR(VLOOKUP(TEXT(A55,"000000"),Artikli!$A:$K,11,FALSE),"")</f>
        <v>35.200000000000003</v>
      </c>
      <c r="E55" s="12">
        <v>25</v>
      </c>
      <c r="F55" s="9"/>
      <c r="G55" s="9"/>
      <c r="I55" t="str">
        <f>IFERROR(VLOOKUP(TEXT(F55,"000000"),Artikli!$A:$K,11,FALSE),"")</f>
        <v/>
      </c>
      <c r="J55" s="9"/>
      <c r="K55" s="9"/>
      <c r="L55" s="11"/>
      <c r="M55" t="str">
        <f>IFERROR(VLOOKUP(TEXT(J55,"000000"),Artikli!$A:$K,11,FALSE),"")</f>
        <v/>
      </c>
      <c r="N55" s="9"/>
      <c r="O55" s="9"/>
      <c r="P55" s="11"/>
      <c r="Q55" t="str">
        <f>IFERROR(VLOOKUP(TEXT(N55,"000000"),Artikli!$A:$K,11,FALSE),"")</f>
        <v/>
      </c>
    </row>
    <row r="56" spans="1:17" x14ac:dyDescent="0.25">
      <c r="A56" s="9">
        <v>164</v>
      </c>
      <c r="B56" t="s">
        <v>139</v>
      </c>
      <c r="C56" s="11">
        <v>25</v>
      </c>
      <c r="D56">
        <f>IFERROR(VLOOKUP(TEXT(A56,"000000"),Artikli!$A:$K,11,FALSE),"")</f>
        <v>35</v>
      </c>
      <c r="E56" s="12">
        <v>25</v>
      </c>
      <c r="F56" s="9"/>
      <c r="G56" s="9"/>
      <c r="I56" t="str">
        <f>IFERROR(VLOOKUP(TEXT(F56,"000000"),Artikli!$A:$K,11,FALSE),"")</f>
        <v/>
      </c>
      <c r="J56" s="9"/>
      <c r="K56" s="9"/>
      <c r="L56" s="11"/>
      <c r="M56" t="str">
        <f>IFERROR(VLOOKUP(TEXT(J56,"000000"),Artikli!$A:$K,11,FALSE),"")</f>
        <v/>
      </c>
      <c r="N56" s="9"/>
      <c r="O56" s="9"/>
      <c r="P56" s="11"/>
      <c r="Q56" t="str">
        <f>IFERROR(VLOOKUP(TEXT(N56,"000000"),Artikli!$A:$K,11,FALSE),"")</f>
        <v/>
      </c>
    </row>
    <row r="57" spans="1:17" x14ac:dyDescent="0.25">
      <c r="A57" s="9">
        <v>165</v>
      </c>
      <c r="B57" t="s">
        <v>141</v>
      </c>
      <c r="C57" s="11">
        <v>25</v>
      </c>
      <c r="D57">
        <f>IFERROR(VLOOKUP(TEXT(A57,"000000"),Artikli!$A:$K,11,FALSE),"")</f>
        <v>19.5</v>
      </c>
      <c r="E57" s="12">
        <v>25</v>
      </c>
      <c r="F57" s="9"/>
      <c r="G57" s="9"/>
      <c r="I57" t="str">
        <f>IFERROR(VLOOKUP(TEXT(F57,"000000"),Artikli!$A:$K,11,FALSE),"")</f>
        <v/>
      </c>
      <c r="J57" s="9"/>
      <c r="K57" s="9"/>
      <c r="L57" s="11"/>
      <c r="M57" t="str">
        <f>IFERROR(VLOOKUP(TEXT(J57,"000000"),Artikli!$A:$K,11,FALSE),"")</f>
        <v/>
      </c>
      <c r="N57" s="9"/>
      <c r="O57" s="9"/>
      <c r="P57" s="11"/>
      <c r="Q57" t="str">
        <f>IFERROR(VLOOKUP(TEXT(N57,"000000"),Artikli!$A:$K,11,FALSE),"")</f>
        <v/>
      </c>
    </row>
    <row r="58" spans="1:17" x14ac:dyDescent="0.25">
      <c r="A58" s="9">
        <v>167</v>
      </c>
      <c r="B58" t="s">
        <v>143</v>
      </c>
      <c r="C58" s="11">
        <v>50</v>
      </c>
      <c r="D58">
        <f>IFERROR(VLOOKUP(TEXT(A58,"000000"),Artikli!$A:$K,11,FALSE),"")</f>
        <v>11.8</v>
      </c>
      <c r="E58" s="12">
        <v>25</v>
      </c>
      <c r="F58" s="9"/>
      <c r="G58" s="9"/>
      <c r="I58" t="str">
        <f>IFERROR(VLOOKUP(TEXT(F58,"000000"),Artikli!$A:$K,11,FALSE),"")</f>
        <v/>
      </c>
      <c r="J58" s="9"/>
      <c r="K58" s="9"/>
      <c r="L58" s="11"/>
      <c r="M58" t="str">
        <f>IFERROR(VLOOKUP(TEXT(J58,"000000"),Artikli!$A:$K,11,FALSE),"")</f>
        <v/>
      </c>
      <c r="N58" s="9"/>
      <c r="O58" s="9"/>
      <c r="P58" s="11"/>
      <c r="Q58" t="str">
        <f>IFERROR(VLOOKUP(TEXT(N58,"000000"),Artikli!$A:$K,11,FALSE),"")</f>
        <v/>
      </c>
    </row>
    <row r="59" spans="1:17" x14ac:dyDescent="0.25">
      <c r="A59" s="9">
        <v>179</v>
      </c>
      <c r="B59" t="s">
        <v>145</v>
      </c>
      <c r="C59" s="11">
        <v>361</v>
      </c>
      <c r="D59">
        <f>IFERROR(VLOOKUP(TEXT(A59,"000000"),Artikli!$A:$K,11,FALSE),"")</f>
        <v>0</v>
      </c>
      <c r="E59" s="12">
        <v>400</v>
      </c>
      <c r="F59" s="9">
        <v>68</v>
      </c>
      <c r="G59" s="9" t="s">
        <v>61</v>
      </c>
      <c r="H59" s="11">
        <v>4</v>
      </c>
      <c r="I59">
        <f>IFERROR(VLOOKUP(TEXT(F59,"000000"),Artikli!$A:$K,11,FALSE),"")</f>
        <v>30.3</v>
      </c>
      <c r="J59" s="9"/>
      <c r="K59" s="9"/>
      <c r="L59" s="11"/>
      <c r="M59" t="str">
        <f>IFERROR(VLOOKUP(TEXT(J59,"000000"),Artikli!$A:$K,11,FALSE),"")</f>
        <v/>
      </c>
      <c r="N59" s="9"/>
      <c r="O59" s="9"/>
      <c r="P59" s="11"/>
      <c r="Q59" t="str">
        <f>IFERROR(VLOOKUP(TEXT(N59,"000000"),Artikli!$A:$K,11,FALSE),"")</f>
        <v/>
      </c>
    </row>
    <row r="60" spans="1:17" x14ac:dyDescent="0.25">
      <c r="A60" s="9">
        <v>182</v>
      </c>
      <c r="B60" t="s">
        <v>147</v>
      </c>
      <c r="C60" s="11">
        <v>119.78</v>
      </c>
      <c r="D60">
        <f>IFERROR(VLOOKUP(TEXT(A60,"000000"),Artikli!$A:$K,11,FALSE),"")</f>
        <v>23.5</v>
      </c>
      <c r="E60" s="12">
        <v>125</v>
      </c>
      <c r="F60" s="9"/>
      <c r="G60" s="9"/>
      <c r="I60" t="str">
        <f>IFERROR(VLOOKUP(TEXT(F60,"000000"),Artikli!$A:$K,11,FALSE),"")</f>
        <v/>
      </c>
      <c r="J60" s="9"/>
      <c r="K60" s="9"/>
      <c r="L60" s="11"/>
      <c r="M60" t="str">
        <f>IFERROR(VLOOKUP(TEXT(J60,"000000"),Artikli!$A:$K,11,FALSE),"")</f>
        <v/>
      </c>
      <c r="N60" s="9"/>
      <c r="O60" s="9"/>
      <c r="P60" s="11"/>
      <c r="Q60" t="str">
        <f>IFERROR(VLOOKUP(TEXT(N60,"000000"),Artikli!$A:$K,11,FALSE),"")</f>
        <v/>
      </c>
    </row>
    <row r="61" spans="1:17" x14ac:dyDescent="0.25">
      <c r="A61" s="9">
        <v>184</v>
      </c>
      <c r="B61" t="s">
        <v>149</v>
      </c>
      <c r="C61" s="11">
        <v>50</v>
      </c>
      <c r="D61">
        <f>IFERROR(VLOOKUP(TEXT(A61,"000000"),Artikli!$A:$K,11,FALSE),"")</f>
        <v>28</v>
      </c>
      <c r="E61" s="12">
        <v>25</v>
      </c>
      <c r="F61" s="9">
        <v>82</v>
      </c>
      <c r="G61" s="9" t="s">
        <v>82</v>
      </c>
      <c r="H61" s="11">
        <v>54</v>
      </c>
      <c r="I61">
        <f>IFERROR(VLOOKUP(TEXT(F61,"000000"),Artikli!$A:$K,11,FALSE),"")</f>
        <v>62.25</v>
      </c>
      <c r="J61" s="9"/>
      <c r="K61" s="9"/>
      <c r="L61" s="11"/>
      <c r="M61" t="str">
        <f>IFERROR(VLOOKUP(TEXT(J61,"000000"),Artikli!$A:$K,11,FALSE),"")</f>
        <v/>
      </c>
      <c r="N61" s="9"/>
      <c r="O61" s="9"/>
      <c r="P61" s="11"/>
      <c r="Q61" t="str">
        <f>IFERROR(VLOOKUP(TEXT(N61,"000000"),Artikli!$A:$K,11,FALSE),"")</f>
        <v/>
      </c>
    </row>
    <row r="62" spans="1:17" x14ac:dyDescent="0.25">
      <c r="A62" s="9">
        <v>188</v>
      </c>
      <c r="B62" t="s">
        <v>151</v>
      </c>
      <c r="C62" s="11">
        <v>50</v>
      </c>
      <c r="D62">
        <f>IFERROR(VLOOKUP(TEXT(A62,"000000"),Artikli!$A:$K,11,FALSE),"")</f>
        <v>0</v>
      </c>
      <c r="E62" s="12">
        <v>50</v>
      </c>
      <c r="F62" s="9">
        <v>52</v>
      </c>
      <c r="G62" s="9" t="s">
        <v>295</v>
      </c>
      <c r="H62" s="11">
        <v>3</v>
      </c>
      <c r="I62">
        <f>IFERROR(VLOOKUP(TEXT(F62,"000000"),Artikli!$A:$K,11,FALSE),"")</f>
        <v>25.5</v>
      </c>
      <c r="J62" s="9"/>
      <c r="K62" s="9"/>
      <c r="L62" s="11"/>
      <c r="M62" t="str">
        <f>IFERROR(VLOOKUP(TEXT(J62,"000000"),Artikli!$A:$K,11,FALSE),"")</f>
        <v/>
      </c>
      <c r="N62" s="9"/>
      <c r="O62" s="9"/>
      <c r="P62" s="11"/>
      <c r="Q62" t="str">
        <f>IFERROR(VLOOKUP(TEXT(N62,"000000"),Artikli!$A:$K,11,FALSE),"")</f>
        <v/>
      </c>
    </row>
    <row r="63" spans="1:17" x14ac:dyDescent="0.25">
      <c r="A63" s="9">
        <v>190</v>
      </c>
      <c r="B63" t="s">
        <v>153</v>
      </c>
      <c r="C63" s="11">
        <v>20</v>
      </c>
      <c r="D63">
        <f>IFERROR(VLOOKUP(TEXT(A63,"000000"),Artikli!$A:$K,11,FALSE),"")</f>
        <v>0</v>
      </c>
      <c r="E63" s="12">
        <v>25</v>
      </c>
      <c r="F63" s="9"/>
      <c r="G63" s="9"/>
      <c r="I63" t="str">
        <f>IFERROR(VLOOKUP(TEXT(F63,"000000"),Artikli!$A:$K,11,FALSE),"")</f>
        <v/>
      </c>
      <c r="J63" s="9"/>
      <c r="K63" s="9"/>
      <c r="L63" s="11"/>
      <c r="M63" t="str">
        <f>IFERROR(VLOOKUP(TEXT(J63,"000000"),Artikli!$A:$K,11,FALSE),"")</f>
        <v/>
      </c>
      <c r="N63" s="9"/>
      <c r="O63" s="9"/>
      <c r="P63" s="11"/>
      <c r="Q63" t="str">
        <f>IFERROR(VLOOKUP(TEXT(N63,"000000"),Artikli!$A:$K,11,FALSE),"")</f>
        <v/>
      </c>
    </row>
    <row r="64" spans="1:17" x14ac:dyDescent="0.25">
      <c r="A64" s="9">
        <v>191</v>
      </c>
      <c r="B64" t="s">
        <v>155</v>
      </c>
      <c r="C64" s="11">
        <v>50</v>
      </c>
      <c r="D64">
        <f>IFERROR(VLOOKUP(TEXT(A64,"000000"),Artikli!$A:$K,11,FALSE),"")</f>
        <v>0</v>
      </c>
      <c r="E64" s="12">
        <v>25</v>
      </c>
      <c r="F64" s="9"/>
      <c r="G64" s="9"/>
      <c r="I64" t="str">
        <f>IFERROR(VLOOKUP(TEXT(F64,"000000"),Artikli!$A:$K,11,FALSE),"")</f>
        <v/>
      </c>
      <c r="J64" s="9"/>
      <c r="K64" s="9"/>
      <c r="L64" s="11"/>
      <c r="M64" t="str">
        <f>IFERROR(VLOOKUP(TEXT(J64,"000000"),Artikli!$A:$K,11,FALSE),"")</f>
        <v/>
      </c>
      <c r="N64" s="9"/>
      <c r="O64" s="9"/>
      <c r="P64" s="11"/>
      <c r="Q64" t="str">
        <f>IFERROR(VLOOKUP(TEXT(N64,"000000"),Artikli!$A:$K,11,FALSE),"")</f>
        <v/>
      </c>
    </row>
    <row r="65" spans="1:17" x14ac:dyDescent="0.25">
      <c r="A65" s="9">
        <v>192</v>
      </c>
      <c r="B65" t="s">
        <v>157</v>
      </c>
      <c r="C65" s="11">
        <v>50</v>
      </c>
      <c r="D65">
        <f>IFERROR(VLOOKUP(TEXT(A65,"000000"),Artikli!$A:$K,11,FALSE),"")</f>
        <v>0</v>
      </c>
      <c r="E65" s="12">
        <v>50</v>
      </c>
      <c r="F65" s="9"/>
      <c r="G65" s="9"/>
      <c r="I65" t="str">
        <f>IFERROR(VLOOKUP(TEXT(F65,"000000"),Artikli!$A:$K,11,FALSE),"")</f>
        <v/>
      </c>
      <c r="J65" s="9"/>
      <c r="K65" s="9"/>
      <c r="L65" s="11"/>
      <c r="M65" t="str">
        <f>IFERROR(VLOOKUP(TEXT(J65,"000000"),Artikli!$A:$K,11,FALSE),"")</f>
        <v/>
      </c>
      <c r="N65" s="9"/>
      <c r="O65" s="9"/>
      <c r="P65" s="11"/>
      <c r="Q65" t="str">
        <f>IFERROR(VLOOKUP(TEXT(N65,"000000"),Artikli!$A:$K,11,FALSE),"")</f>
        <v/>
      </c>
    </row>
    <row r="66" spans="1:17" x14ac:dyDescent="0.25">
      <c r="A66" s="9">
        <v>193</v>
      </c>
      <c r="B66" t="s">
        <v>159</v>
      </c>
      <c r="C66" s="11">
        <v>2500</v>
      </c>
      <c r="D66">
        <f>IFERROR(VLOOKUP(TEXT(A66,"000000"),Artikli!$A:$K,11,FALSE),"")</f>
        <v>0</v>
      </c>
      <c r="E66" s="12">
        <v>1100</v>
      </c>
      <c r="F66" s="9">
        <v>75</v>
      </c>
      <c r="G66" s="9" t="s">
        <v>322</v>
      </c>
      <c r="H66" s="11">
        <v>81.34</v>
      </c>
      <c r="I66">
        <f>IFERROR(VLOOKUP(TEXT(F66,"000000"),Artikli!$A:$K,11,FALSE),"")</f>
        <v>1.2</v>
      </c>
      <c r="J66" s="9"/>
      <c r="K66" s="9"/>
      <c r="L66" s="11"/>
      <c r="M66" t="str">
        <f>IFERROR(VLOOKUP(TEXT(J66,"000000"),Artikli!$A:$K,11,FALSE),"")</f>
        <v/>
      </c>
      <c r="N66" s="9"/>
      <c r="O66" s="9"/>
      <c r="P66" s="11"/>
      <c r="Q66" t="str">
        <f>IFERROR(VLOOKUP(TEXT(N66,"000000"),Artikli!$A:$K,11,FALSE),"")</f>
        <v/>
      </c>
    </row>
    <row r="67" spans="1:17" x14ac:dyDescent="0.25">
      <c r="A67" s="9">
        <v>195</v>
      </c>
      <c r="B67" t="s">
        <v>161</v>
      </c>
      <c r="C67" s="11">
        <v>0</v>
      </c>
      <c r="D67">
        <f>IFERROR(VLOOKUP(TEXT(A67,"000000"),Artikli!$A:$K,11,FALSE),"")</f>
        <v>0</v>
      </c>
      <c r="E67" s="12">
        <v>375</v>
      </c>
      <c r="F67" s="9"/>
      <c r="G67" s="9"/>
      <c r="I67" t="str">
        <f>IFERROR(VLOOKUP(TEXT(F67,"000000"),Artikli!$A:$K,11,FALSE),"")</f>
        <v/>
      </c>
      <c r="J67" s="9"/>
      <c r="K67" s="9"/>
      <c r="L67" s="11"/>
      <c r="M67" t="str">
        <f>IFERROR(VLOOKUP(TEXT(J67,"000000"),Artikli!$A:$K,11,FALSE),"")</f>
        <v/>
      </c>
      <c r="N67" s="9"/>
      <c r="O67" s="9"/>
      <c r="P67" s="11"/>
      <c r="Q67" t="str">
        <f>IFERROR(VLOOKUP(TEXT(N67,"000000"),Artikli!$A:$K,11,FALSE),"")</f>
        <v/>
      </c>
    </row>
    <row r="68" spans="1:17" x14ac:dyDescent="0.25">
      <c r="A68" s="9">
        <v>60000</v>
      </c>
      <c r="B68" t="s">
        <v>163</v>
      </c>
      <c r="C68" s="11">
        <v>27.909859999999998</v>
      </c>
      <c r="D68">
        <f>IFERROR(VLOOKUP(TEXT(A68,"000000"),Artikli!$A:$K,11,FALSE),"")</f>
        <v>22</v>
      </c>
      <c r="E68" s="12">
        <v>10</v>
      </c>
      <c r="F68" s="9"/>
      <c r="G68" s="9"/>
      <c r="I68" t="str">
        <f>IFERROR(VLOOKUP(TEXT(F68,"000000"),Artikli!$A:$K,11,FALSE),"")</f>
        <v/>
      </c>
      <c r="J68" s="9"/>
      <c r="K68" s="9"/>
      <c r="L68" s="11"/>
      <c r="M68" t="str">
        <f>IFERROR(VLOOKUP(TEXT(J68,"000000"),Artikli!$A:$K,11,FALSE),"")</f>
        <v/>
      </c>
      <c r="N68" s="9"/>
      <c r="O68" s="9"/>
      <c r="P68" s="11"/>
      <c r="Q68" t="str">
        <f>IFERROR(VLOOKUP(TEXT(N68,"000000"),Artikli!$A:$K,11,FALSE),"")</f>
        <v/>
      </c>
    </row>
    <row r="69" spans="1:17" x14ac:dyDescent="0.25">
      <c r="A69" s="9">
        <v>60001</v>
      </c>
      <c r="B69" t="s">
        <v>166</v>
      </c>
      <c r="C69" s="11">
        <v>18.28989</v>
      </c>
      <c r="D69">
        <f>IFERROR(VLOOKUP(TEXT(A69,"000000"),Artikli!$A:$K,11,FALSE),"")</f>
        <v>16.5</v>
      </c>
      <c r="E69" s="12">
        <v>20</v>
      </c>
      <c r="F69" s="9"/>
      <c r="G69" s="9"/>
      <c r="I69" t="str">
        <f>IFERROR(VLOOKUP(TEXT(F69,"000000"),Artikli!$A:$K,11,FALSE),"")</f>
        <v/>
      </c>
      <c r="J69" s="9"/>
      <c r="K69" s="9"/>
      <c r="L69" s="11"/>
      <c r="M69" t="str">
        <f>IFERROR(VLOOKUP(TEXT(J69,"000000"),Artikli!$A:$K,11,FALSE),"")</f>
        <v/>
      </c>
      <c r="N69" s="9"/>
      <c r="O69" s="9"/>
      <c r="P69" s="11"/>
      <c r="Q69" t="str">
        <f>IFERROR(VLOOKUP(TEXT(N69,"000000"),Artikli!$A:$K,11,FALSE),"")</f>
        <v/>
      </c>
    </row>
    <row r="70" spans="1:17" x14ac:dyDescent="0.25">
      <c r="A70" s="9">
        <v>60002</v>
      </c>
      <c r="B70" t="s">
        <v>168</v>
      </c>
      <c r="C70" s="11">
        <v>10</v>
      </c>
      <c r="D70">
        <f>IFERROR(VLOOKUP(TEXT(A70,"000000"),Artikli!$A:$K,11,FALSE),"")</f>
        <v>15</v>
      </c>
      <c r="E70" s="12">
        <v>10</v>
      </c>
      <c r="F70" s="9"/>
      <c r="G70" s="9"/>
      <c r="I70" t="str">
        <f>IFERROR(VLOOKUP(TEXT(F70,"000000"),Artikli!$A:$K,11,FALSE),"")</f>
        <v/>
      </c>
      <c r="J70" s="9"/>
      <c r="K70" s="9"/>
      <c r="L70" s="11"/>
      <c r="M70" t="str">
        <f>IFERROR(VLOOKUP(TEXT(J70,"000000"),Artikli!$A:$K,11,FALSE),"")</f>
        <v/>
      </c>
      <c r="N70" s="9"/>
      <c r="O70" s="9"/>
      <c r="P70" s="11"/>
      <c r="Q70" t="str">
        <f>IFERROR(VLOOKUP(TEXT(N70,"000000"),Artikli!$A:$K,11,FALSE),"")</f>
        <v/>
      </c>
    </row>
    <row r="71" spans="1:17" x14ac:dyDescent="0.25">
      <c r="A71" s="9">
        <v>60003</v>
      </c>
      <c r="B71" t="s">
        <v>170</v>
      </c>
      <c r="C71" s="11">
        <v>10</v>
      </c>
      <c r="D71">
        <f>IFERROR(VLOOKUP(TEXT(A71,"000000"),Artikli!$A:$K,11,FALSE),"")</f>
        <v>15.5</v>
      </c>
      <c r="E71" s="12">
        <v>10</v>
      </c>
      <c r="F71" s="9"/>
      <c r="G71" s="9"/>
      <c r="I71" t="str">
        <f>IFERROR(VLOOKUP(TEXT(F71,"000000"),Artikli!$A:$K,11,FALSE),"")</f>
        <v/>
      </c>
      <c r="J71" s="9"/>
      <c r="K71" s="9"/>
      <c r="L71" s="11"/>
      <c r="M71" t="str">
        <f>IFERROR(VLOOKUP(TEXT(J71,"000000"),Artikli!$A:$K,11,FALSE),"")</f>
        <v/>
      </c>
      <c r="N71" s="9"/>
      <c r="O71" s="9"/>
      <c r="P71" s="11"/>
      <c r="Q71" t="str">
        <f>IFERROR(VLOOKUP(TEXT(N71,"000000"),Artikli!$A:$K,11,FALSE),"")</f>
        <v/>
      </c>
    </row>
    <row r="72" spans="1:17" x14ac:dyDescent="0.25">
      <c r="A72" s="9">
        <v>60004</v>
      </c>
      <c r="B72" t="s">
        <v>172</v>
      </c>
      <c r="C72" s="11">
        <v>20</v>
      </c>
      <c r="D72">
        <f>IFERROR(VLOOKUP(TEXT(A72,"000000"),Artikli!$A:$K,11,FALSE),"")</f>
        <v>15.1</v>
      </c>
      <c r="E72" s="12">
        <v>10</v>
      </c>
      <c r="F72" s="9"/>
      <c r="G72" s="9"/>
      <c r="I72" t="str">
        <f>IFERROR(VLOOKUP(TEXT(F72,"000000"),Artikli!$A:$K,11,FALSE),"")</f>
        <v/>
      </c>
      <c r="J72" s="9"/>
      <c r="K72" s="9"/>
      <c r="L72" s="11"/>
      <c r="M72" t="str">
        <f>IFERROR(VLOOKUP(TEXT(J72,"000000"),Artikli!$A:$K,11,FALSE),"")</f>
        <v/>
      </c>
      <c r="N72" s="9"/>
      <c r="O72" s="9"/>
      <c r="P72" s="11"/>
      <c r="Q72" t="str">
        <f>IFERROR(VLOOKUP(TEXT(N72,"000000"),Artikli!$A:$K,11,FALSE),"")</f>
        <v/>
      </c>
    </row>
    <row r="73" spans="1:17" x14ac:dyDescent="0.25">
      <c r="A73" s="9">
        <v>60007</v>
      </c>
      <c r="B73" t="s">
        <v>174</v>
      </c>
      <c r="C73" s="11">
        <v>10</v>
      </c>
      <c r="D73">
        <f>IFERROR(VLOOKUP(TEXT(A73,"000000"),Artikli!$A:$K,11,FALSE),"")</f>
        <v>16.100000000000001</v>
      </c>
      <c r="E73" s="12">
        <v>10</v>
      </c>
      <c r="F73" s="9"/>
      <c r="G73" s="9"/>
      <c r="I73" t="str">
        <f>IFERROR(VLOOKUP(TEXT(F73,"000000"),Artikli!$A:$K,11,FALSE),"")</f>
        <v/>
      </c>
      <c r="J73" s="9"/>
      <c r="K73" s="9"/>
      <c r="L73" s="11"/>
      <c r="M73" t="str">
        <f>IFERROR(VLOOKUP(TEXT(J73,"000000"),Artikli!$A:$K,11,FALSE),"")</f>
        <v/>
      </c>
      <c r="N73" s="9"/>
      <c r="O73" s="9"/>
      <c r="P73" s="11"/>
      <c r="Q73" t="str">
        <f>IFERROR(VLOOKUP(TEXT(N73,"000000"),Artikli!$A:$K,11,FALSE),"")</f>
        <v/>
      </c>
    </row>
    <row r="74" spans="1:17" x14ac:dyDescent="0.25">
      <c r="A74" s="9">
        <v>60008</v>
      </c>
      <c r="B74" t="s">
        <v>176</v>
      </c>
      <c r="C74" s="11">
        <v>161.851</v>
      </c>
      <c r="D74">
        <f>IFERROR(VLOOKUP(TEXT(A74,"000000"),Artikli!$A:$K,11,FALSE),"")</f>
        <v>17.2</v>
      </c>
      <c r="E74" s="12">
        <v>60</v>
      </c>
      <c r="F74" s="9"/>
      <c r="G74" s="9"/>
      <c r="I74" t="str">
        <f>IFERROR(VLOOKUP(TEXT(F74,"000000"),Artikli!$A:$K,11,FALSE),"")</f>
        <v/>
      </c>
      <c r="J74" s="9"/>
      <c r="K74" s="9"/>
      <c r="L74" s="11"/>
      <c r="M74" t="str">
        <f>IFERROR(VLOOKUP(TEXT(J74,"000000"),Artikli!$A:$K,11,FALSE),"")</f>
        <v/>
      </c>
      <c r="N74" s="9"/>
      <c r="O74" s="9"/>
      <c r="P74" s="11"/>
      <c r="Q74" t="str">
        <f>IFERROR(VLOOKUP(TEXT(N74,"000000"),Artikli!$A:$K,11,FALSE),"")</f>
        <v/>
      </c>
    </row>
    <row r="75" spans="1:17" x14ac:dyDescent="0.25">
      <c r="A75" s="9">
        <v>60010</v>
      </c>
      <c r="B75" t="s">
        <v>179</v>
      </c>
      <c r="C75" s="11">
        <v>0</v>
      </c>
      <c r="D75">
        <f>IFERROR(VLOOKUP(TEXT(A75,"000000"),Artikli!$A:$K,11,FALSE),"")</f>
        <v>0</v>
      </c>
      <c r="E75" s="12">
        <v>10</v>
      </c>
      <c r="F75" s="9"/>
      <c r="G75" s="9"/>
      <c r="I75" t="str">
        <f>IFERROR(VLOOKUP(TEXT(F75,"000000"),Artikli!$A:$K,11,FALSE),"")</f>
        <v/>
      </c>
      <c r="J75" s="9"/>
      <c r="K75" s="9"/>
      <c r="L75" s="11"/>
      <c r="M75" t="str">
        <f>IFERROR(VLOOKUP(TEXT(J75,"000000"),Artikli!$A:$K,11,FALSE),"")</f>
        <v/>
      </c>
      <c r="N75" s="9"/>
      <c r="O75" s="9"/>
      <c r="P75" s="11"/>
      <c r="Q75" t="str">
        <f>IFERROR(VLOOKUP(TEXT(N75,"000000"),Artikli!$A:$K,11,FALSE),"")</f>
        <v/>
      </c>
    </row>
    <row r="76" spans="1:17" x14ac:dyDescent="0.25">
      <c r="A76" s="9">
        <v>80014</v>
      </c>
      <c r="B76" t="s">
        <v>181</v>
      </c>
      <c r="C76" s="11">
        <v>2100</v>
      </c>
      <c r="D76">
        <f>IFERROR(VLOOKUP(TEXT(A76,"000000"),Artikli!$A:$K,11,FALSE),"")</f>
        <v>0.01</v>
      </c>
      <c r="E76" s="12">
        <v>1500000</v>
      </c>
      <c r="F76" s="9"/>
      <c r="G76" s="9"/>
      <c r="I76" t="str">
        <f>IFERROR(VLOOKUP(TEXT(F76,"000000"),Artikli!$A:$K,11,FALSE),"")</f>
        <v/>
      </c>
      <c r="J76" s="9"/>
      <c r="K76" s="9"/>
      <c r="L76" s="11"/>
      <c r="M76" t="str">
        <f>IFERROR(VLOOKUP(TEXT(J76,"000000"),Artikli!$A:$K,11,FALSE),"")</f>
        <v/>
      </c>
      <c r="N76" s="9"/>
      <c r="O76" s="9"/>
      <c r="P76" s="11"/>
      <c r="Q76" t="str">
        <f>IFERROR(VLOOKUP(TEXT(N76,"000000"),Artikli!$A:$K,11,FALSE),"")</f>
        <v/>
      </c>
    </row>
    <row r="77" spans="1:17" x14ac:dyDescent="0.25">
      <c r="A77" s="9">
        <v>80016</v>
      </c>
      <c r="B77" t="s">
        <v>184</v>
      </c>
      <c r="C77" s="11">
        <v>7188.5</v>
      </c>
      <c r="D77">
        <f>IFERROR(VLOOKUP(TEXT(A77,"000000"),Artikli!$A:$K,11,FALSE),"")</f>
        <v>2.5999999999999999E-3</v>
      </c>
      <c r="E77" s="12">
        <v>4050000</v>
      </c>
      <c r="F77" s="9"/>
      <c r="G77" s="9"/>
      <c r="I77" t="str">
        <f>IFERROR(VLOOKUP(TEXT(F77,"000000"),Artikli!$A:$K,11,FALSE),"")</f>
        <v/>
      </c>
      <c r="J77" s="9"/>
      <c r="K77" s="9"/>
      <c r="L77" s="11"/>
      <c r="M77" t="str">
        <f>IFERROR(VLOOKUP(TEXT(J77,"000000"),Artikli!$A:$K,11,FALSE),"")</f>
        <v/>
      </c>
      <c r="N77" s="9"/>
      <c r="O77" s="9"/>
      <c r="P77" s="11"/>
      <c r="Q77" t="str">
        <f>IFERROR(VLOOKUP(TEXT(N77,"000000"),Artikli!$A:$K,11,FALSE),"")</f>
        <v/>
      </c>
    </row>
    <row r="78" spans="1:17" x14ac:dyDescent="0.25">
      <c r="A78" s="9">
        <v>80018</v>
      </c>
      <c r="B78" t="s">
        <v>186</v>
      </c>
      <c r="C78" s="11">
        <v>8591.02</v>
      </c>
      <c r="D78">
        <f>IFERROR(VLOOKUP(TEXT(A78,"000000"),Artikli!$A:$K,11,FALSE),"")</f>
        <v>2.8500000000000001E-3</v>
      </c>
      <c r="E78" s="12">
        <v>8070000</v>
      </c>
      <c r="F78" s="9"/>
      <c r="G78" s="9"/>
      <c r="I78" t="str">
        <f>IFERROR(VLOOKUP(TEXT(F78,"000000"),Artikli!$A:$K,11,FALSE),"")</f>
        <v/>
      </c>
      <c r="J78" s="9"/>
      <c r="K78" s="9"/>
      <c r="L78" s="11"/>
      <c r="M78" t="str">
        <f>IFERROR(VLOOKUP(TEXT(J78,"000000"),Artikli!$A:$K,11,FALSE),"")</f>
        <v/>
      </c>
      <c r="N78" s="9"/>
      <c r="O78" s="9"/>
      <c r="P78" s="11"/>
      <c r="Q78" t="str">
        <f>IFERROR(VLOOKUP(TEXT(N78,"000000"),Artikli!$A:$K,11,FALSE),"")</f>
        <v/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28BB7-96C3-4F11-885D-5392CA64DD9F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6</vt:i4>
      </vt:variant>
    </vt:vector>
  </HeadingPairs>
  <TitlesOfParts>
    <vt:vector size="6" baseType="lpstr">
      <vt:lpstr>Artikli</vt:lpstr>
      <vt:lpstr>Nadomeščanje artikla</vt:lpstr>
      <vt:lpstr>List1</vt:lpstr>
      <vt:lpstr>Delovni listi načrtovanja</vt:lpstr>
      <vt:lpstr>Preoblikovano</vt:lpstr>
      <vt:lpstr>List2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Janez Privat</cp:lastModifiedBy>
  <dcterms:created xsi:type="dcterms:W3CDTF">2026-04-23T18:21:16Z</dcterms:created>
  <dcterms:modified xsi:type="dcterms:W3CDTF">2026-05-04T17:09:51Z</dcterms:modified>
</cp:coreProperties>
</file>